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25F4E541-1EDC-4BC0-9543-1C08205C5D0E}" xr6:coauthVersionLast="47" xr6:coauthVersionMax="47" xr10:uidLastSave="{00000000-0000-0000-0000-000000000000}"/>
  <bookViews>
    <workbookView xWindow="-120" yWindow="-120" windowWidth="20730" windowHeight="11160" tabRatio="708" activeTab="1" xr2:uid="{C7B35671-472A-4EBD-9A54-174140231966}"/>
  </bookViews>
  <sheets>
    <sheet name="Sheet1" sheetId="3" r:id="rId1"/>
    <sheet name="Dashboard" sheetId="4" r:id="rId2"/>
    <sheet name="hospital_patient_treatment_data" sheetId="1" r:id="rId3"/>
    <sheet name="Analysis" sheetId="2" r:id="rId4"/>
  </sheets>
  <definedNames>
    <definedName name="_xlchart.v1.0" hidden="1">Sheet1!$A$32:$A$39</definedName>
    <definedName name="_xlchart.v1.1" hidden="1">Sheet1!$B$32:$B$39</definedName>
    <definedName name="_xlchart.v1.4" hidden="1">Sheet1!$A$32:$A$39</definedName>
    <definedName name="_xlchart.v1.5" hidden="1">Sheet1!$B$32:$B$39</definedName>
    <definedName name="_xlchart.v1.6" hidden="1">Sheet1!$A$32:$A$39</definedName>
    <definedName name="_xlchart.v1.7" hidden="1">Sheet1!$B$32:$B$39</definedName>
    <definedName name="_xlchart.v1.8" hidden="1">Sheet1!$A$32:$A$39</definedName>
    <definedName name="_xlchart.v1.9" hidden="1">Sheet1!$B$32:$B$39</definedName>
    <definedName name="_xlchart.v2.2" hidden="1">Sheet1!$D$18:$D$21</definedName>
    <definedName name="_xlchart.v2.3" hidden="1">Sheet1!$E$18:$E$21</definedName>
    <definedName name="Slicer_Department">#N/A</definedName>
    <definedName name="Slicer_Doctor_Name">#N/A</definedName>
    <definedName name="Slicer_Gender">#N/A</definedName>
    <definedName name="Slicer_Treatment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<sst xmlns="http://schemas.openxmlformats.org/spreadsheetml/2006/main" count="1743" uniqueCount="268">
  <si>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</si>
  <si>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</si>
  <si>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</si>
  <si>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</si>
  <si>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</si>
  <si>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</si>
  <si>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</si>
  <si>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</si>
  <si>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</si>
  <si>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</si>
  <si>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</si>
  <si>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</si>
  <si>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</si>
  <si>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</si>
  <si>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</si>
  <si>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</si>
  <si>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</si>
  <si>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</si>
  <si>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</si>
  <si>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</si>
  <si>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</si>
  <si>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</si>
  <si>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</si>
  <si>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</si>
  <si>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</si>
  <si>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</si>
  <si>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</si>
  <si>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</si>
  <si>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</si>
  <si>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</si>
  <si>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</si>
  <si>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</si>
  <si>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</si>
  <si>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</si>
  <si>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</si>
  <si>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</si>
  <si>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</si>
  <si>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</si>
  <si>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</si>
  <si>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</si>
  <si>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</si>
  <si>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</si>
  <si>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</si>
  <si>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</si>
  <si>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</si>
  <si>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</si>
  <si>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</si>
  <si>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</si>
  <si>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</si>
  <si>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</si>
  <si>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</si>
  <si>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</si>
  <si>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</si>
  <si>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</si>
  <si>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</si>
  <si>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</si>
  <si>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</si>
  <si>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</si>
  <si>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</si>
  <si>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</si>
  <si>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</si>
  <si>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</si>
  <si>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</si>
  <si>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</si>
  <si>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</si>
  <si>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</si>
  <si>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</si>
  <si>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</si>
  <si>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</si>
  <si>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</si>
  <si>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</si>
  <si>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</si>
  <si>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</si>
  <si>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</si>
  <si>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</si>
  <si>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</si>
  <si>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</si>
  <si>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</si>
  <si>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</si>
  <si>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</si>
  <si>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</si>
  <si>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</si>
  <si>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</si>
  <si>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</si>
  <si>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</si>
  <si>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</si>
  <si>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</si>
  <si>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</si>
  <si>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</si>
  <si>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</si>
  <si>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</si>
  <si>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</si>
  <si>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</si>
  <si>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</si>
  <si>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</si>
  <si>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</si>
  <si>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</si>
  <si>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</si>
  <si>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</si>
  <si>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</si>
  <si>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</si>
  <si>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</si>
  <si>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</si>
  <si>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</si>
  <si>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</si>
  <si>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</si>
  <si>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</si>
  <si>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</si>
  <si>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</si>
  <si>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</si>
  <si>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</si>
  <si>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</si>
  <si>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</si>
  <si>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</si>
  <si>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</si>
  <si>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</si>
  <si>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</si>
  <si>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</si>
  <si>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</si>
  <si>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</si>
  <si>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</si>
  <si>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</si>
  <si>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</si>
  <si>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</si>
  <si>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</si>
  <si>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</si>
  <si>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</si>
  <si>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</si>
  <si>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</si>
  <si>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</si>
  <si>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</si>
  <si>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</si>
  <si>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</si>
  <si>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</si>
  <si>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</si>
  <si>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</si>
  <si>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</si>
  <si>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</si>
  <si>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</si>
  <si>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</si>
  <si>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</si>
  <si>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</si>
  <si>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</si>
  <si>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</si>
  <si>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</si>
  <si>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</si>
  <si>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</si>
  <si>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</si>
  <si>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</si>
  <si>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</si>
  <si>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</si>
  <si>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</si>
  <si>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</si>
  <si>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</si>
  <si>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</si>
  <si>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</si>
  <si>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</si>
  <si>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</si>
  <si>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</si>
  <si>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</si>
  <si>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</si>
  <si>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</si>
  <si>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</si>
  <si>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</si>
  <si>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</si>
  <si>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</si>
  <si>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</si>
  <si>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</si>
  <si>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</si>
  <si>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</si>
  <si>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</si>
  <si>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</si>
  <si>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</si>
  <si>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</si>
  <si>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</si>
  <si>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</si>
  <si>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</si>
  <si>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</si>
  <si>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</si>
  <si>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</si>
  <si>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</si>
  <si>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</si>
  <si>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</si>
  <si>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</si>
  <si>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</si>
  <si>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</si>
  <si>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</si>
  <si>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</si>
  <si>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</si>
  <si>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</si>
  <si>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</si>
  <si>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</si>
  <si>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</si>
  <si>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</si>
  <si>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</si>
  <si>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</si>
  <si>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</si>
  <si>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</si>
  <si>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</si>
  <si>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</si>
  <si>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</si>
  <si>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</si>
  <si>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</si>
  <si>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</si>
  <si>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</si>
  <si>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</si>
  <si>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</si>
  <si>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</si>
  <si>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</si>
  <si>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</si>
  <si>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</si>
  <si>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</si>
  <si>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</si>
  <si>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</si>
  <si>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</si>
  <si>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</si>
  <si>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</si>
  <si>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</si>
  <si>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</si>
  <si>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</si>
  <si>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</si>
  <si>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</si>
  <si>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</si>
  <si>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</si>
  <si>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</si>
  <si>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</si>
  <si>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</si>
  <si>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Row Labels</t>
  </si>
  <si>
    <t>Grand Total</t>
  </si>
  <si>
    <t>Column Labels</t>
  </si>
  <si>
    <t>Count of Patient ID</t>
  </si>
  <si>
    <t>Count of patients in different dept</t>
  </si>
  <si>
    <t>Count of patients and their treatment type</t>
  </si>
  <si>
    <t>Doctors and count of patients</t>
  </si>
  <si>
    <t>Gender Distribution</t>
  </si>
  <si>
    <t>1-10</t>
  </si>
  <si>
    <t>11-20</t>
  </si>
  <si>
    <t>21-30</t>
  </si>
  <si>
    <t>31-40</t>
  </si>
  <si>
    <t>41-50</t>
  </si>
  <si>
    <t>51-60</t>
  </si>
  <si>
    <t>61-70</t>
  </si>
  <si>
    <t>71-80</t>
  </si>
  <si>
    <t>81-90</t>
  </si>
  <si>
    <t>Sum of Hospital Stay (Days)</t>
  </si>
  <si>
    <t>Patient Hospital Stay</t>
  </si>
  <si>
    <t>Sum of Treatment Cost</t>
  </si>
  <si>
    <t>Sum of Recovery Score</t>
  </si>
  <si>
    <t>Average of Treatment Cost</t>
  </si>
  <si>
    <t>Average of Age</t>
  </si>
  <si>
    <t>Average of Hospital Stay (Days)</t>
  </si>
  <si>
    <t>Average of Recovery Score</t>
  </si>
  <si>
    <t>StdDev of Recovery Score</t>
  </si>
  <si>
    <t>Avg Recovery Score</t>
  </si>
  <si>
    <t>Min Recovery Score</t>
  </si>
  <si>
    <t>Recovery Score By Department</t>
  </si>
  <si>
    <t>Cost Level</t>
  </si>
  <si>
    <t>High Cost</t>
  </si>
  <si>
    <t>Low Cost</t>
  </si>
  <si>
    <t>Age Group</t>
  </si>
  <si>
    <t>Adult</t>
  </si>
  <si>
    <t>Child</t>
  </si>
  <si>
    <t>Elderly</t>
  </si>
  <si>
    <t>Infant</t>
  </si>
  <si>
    <t>Middle-Age</t>
  </si>
  <si>
    <t>Teenager</t>
  </si>
  <si>
    <t>Young Adult</t>
  </si>
  <si>
    <t>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</si>
</sst>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2" fontId="0" fillId="0" borderId="0" xfId="0" applyNumberFormat="1"/>
    <xf numFmtId="0" fontId="16" fillId="33" borderId="10" xfId="0" applyFont="1" applyFill="1" applyBorder="1"/>
    <xf numFmtId="164" fontId="0" fillId="0" borderId="0" xfId="0" applyNumberFormat="1"/>
    <xf numFmtId="0" fontId="16" fillId="0" borderId="0" xfId="0" applyFont="1" applyAlignment="1">
      <alignment horizont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 (version 1).xlsb.xlsx]Sheet1!PivotTable1</c:name>
    <c:fmtId val="2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Sheet1!$B$7</c:f>
              <c:strCache>
                <c:ptCount val="1"/>
                <c:pt idx="0">
                  <c:v>Avg Recovery Score</c:v>
                </c:pt>
              </c:strCache>
            </c:strRef>
          </c:tx>
          <c:spPr>
            <a:solidFill>
              <a:schemeClr val="accent1"/>
            </a:solidFill>
            <a:ln>
              <a:noFill/>
            </a:ln>
            <a:effectLst/>
            <a:sp3d/>
          </c:spPr>
          <c:invertIfNegative val="0"/>
          <c:cat>
            <c:strRef>
              <c:f>Sheet1!$A$8:$A$9</c:f>
              <c:strCache>
                <c:ptCount val="1"/>
                <c:pt idx="0">
                  <c:v>Cardiology</c:v>
                </c:pt>
              </c:strCache>
            </c:strRef>
          </c:cat>
          <c:val>
            <c:numRef>
              <c:f>Sheet1!$B$8:$B$9</c:f>
              <c:numCache>
                <c:formatCode>0.00</c:formatCode>
                <c:ptCount val="1"/>
                <c:pt idx="0">
                  <c:v>70.5</c:v>
                </c:pt>
              </c:numCache>
            </c:numRef>
          </c:val>
          <c:extLst>
            <c:ext xmlns:c16="http://schemas.microsoft.com/office/drawing/2014/chart" uri="{C3380CC4-5D6E-409C-BE32-E72D297353CC}">
              <c16:uniqueId val="{00000000-60D4-4EB3-B394-9C9D3FCBA0EA}"/>
            </c:ext>
          </c:extLst>
        </c:ser>
        <c:ser>
          <c:idx val="1"/>
          <c:order val="1"/>
          <c:tx>
            <c:strRef>
              <c:f>Sheet1!$C$7</c:f>
              <c:strCache>
                <c:ptCount val="1"/>
                <c:pt idx="0">
                  <c:v>Min Recovery Score</c:v>
                </c:pt>
              </c:strCache>
            </c:strRef>
          </c:tx>
          <c:spPr>
            <a:solidFill>
              <a:schemeClr val="accent2"/>
            </a:solidFill>
            <a:ln>
              <a:noFill/>
            </a:ln>
            <a:effectLst/>
            <a:sp3d/>
          </c:spPr>
          <c:invertIfNegative val="0"/>
          <c:cat>
            <c:strRef>
              <c:f>Sheet1!$A$8:$A$9</c:f>
              <c:strCache>
                <c:ptCount val="1"/>
                <c:pt idx="0">
                  <c:v>Cardiology</c:v>
                </c:pt>
              </c:strCache>
            </c:strRef>
          </c:cat>
          <c:val>
            <c:numRef>
              <c:f>Sheet1!$C$8:$C$9</c:f>
              <c:numCache>
                <c:formatCode>0.00</c:formatCode>
                <c:ptCount val="1"/>
                <c:pt idx="0">
                  <c:v>41</c:v>
                </c:pt>
              </c:numCache>
            </c:numRef>
          </c:val>
          <c:extLst>
            <c:ext xmlns:c16="http://schemas.microsoft.com/office/drawing/2014/chart" uri="{C3380CC4-5D6E-409C-BE32-E72D297353CC}">
              <c16:uniqueId val="{00000001-60D4-4EB3-B394-9C9D3FCBA0EA}"/>
            </c:ext>
          </c:extLst>
        </c:ser>
        <c:ser>
          <c:idx val="2"/>
          <c:order val="2"/>
          <c:tx>
            <c:strRef>
              <c:f>Sheet1!$D$7</c:f>
              <c:strCache>
                <c:ptCount val="1"/>
                <c:pt idx="0">
                  <c:v>StdDev of Recovery Score</c:v>
                </c:pt>
              </c:strCache>
            </c:strRef>
          </c:tx>
          <c:spPr>
            <a:solidFill>
              <a:schemeClr val="accent3"/>
            </a:solidFill>
            <a:ln>
              <a:noFill/>
            </a:ln>
            <a:effectLst/>
            <a:sp3d/>
          </c:spPr>
          <c:invertIfNegative val="0"/>
          <c:cat>
            <c:strRef>
              <c:f>Sheet1!$A$8:$A$9</c:f>
              <c:strCache>
                <c:ptCount val="1"/>
                <c:pt idx="0">
                  <c:v>Cardiology</c:v>
                </c:pt>
              </c:strCache>
            </c:strRef>
          </c:cat>
          <c:val>
            <c:numRef>
              <c:f>Sheet1!$D$8:$D$9</c:f>
              <c:numCache>
                <c:formatCode>0.00</c:formatCode>
                <c:ptCount val="1"/>
                <c:pt idx="0">
                  <c:v>19.571496576932219</c:v>
                </c:pt>
              </c:numCache>
            </c:numRef>
          </c:val>
          <c:extLst>
            <c:ext xmlns:c16="http://schemas.microsoft.com/office/drawing/2014/chart" uri="{C3380CC4-5D6E-409C-BE32-E72D297353CC}">
              <c16:uniqueId val="{00000002-60D4-4EB3-B394-9C9D3FCBA0EA}"/>
            </c:ext>
          </c:extLst>
        </c:ser>
        <c:dLbls>
          <c:showLegendKey val="0"/>
          <c:showVal val="0"/>
          <c:showCatName val="0"/>
          <c:showSerName val="0"/>
          <c:showPercent val="0"/>
          <c:showBubbleSize val="0"/>
        </c:dLbls>
        <c:gapWidth val="150"/>
        <c:shape val="box"/>
        <c:axId val="1225318831"/>
        <c:axId val="1225326031"/>
        <c:axId val="0"/>
      </c:bar3DChart>
      <c:catAx>
        <c:axId val="122531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26031"/>
        <c:crosses val="autoZero"/>
        <c:auto val="1"/>
        <c:lblAlgn val="ctr"/>
        <c:lblOffset val="100"/>
        <c:noMultiLvlLbl val="0"/>
      </c:catAx>
      <c:valAx>
        <c:axId val="122532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905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 (version 1).xlsb.xlsx]Sheet1!PivotTable3</c:name>
    <c:fmtId val="2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Sheet1!$B$17</c:f>
              <c:strCache>
                <c:ptCount val="1"/>
                <c:pt idx="0">
                  <c:v>Total</c:v>
                </c:pt>
              </c:strCache>
            </c:strRef>
          </c:tx>
          <c:spPr>
            <a:solidFill>
              <a:schemeClr val="accent1"/>
            </a:solidFill>
            <a:ln>
              <a:noFill/>
            </a:ln>
            <a:effectLst/>
            <a:sp3d/>
          </c:spPr>
          <c:invertIfNegative val="0"/>
          <c:cat>
            <c:strRef>
              <c:f>Sheet1!$A$18:$A$23</c:f>
              <c:strCache>
                <c:ptCount val="5"/>
                <c:pt idx="0">
                  <c:v>Dr. A. Sharma</c:v>
                </c:pt>
                <c:pt idx="1">
                  <c:v>Dr. L. Khan</c:v>
                </c:pt>
                <c:pt idx="2">
                  <c:v>Dr. M. Patel</c:v>
                </c:pt>
                <c:pt idx="3">
                  <c:v>Dr. R. Singh</c:v>
                </c:pt>
                <c:pt idx="4">
                  <c:v>Dr. T. Mehta</c:v>
                </c:pt>
              </c:strCache>
            </c:strRef>
          </c:cat>
          <c:val>
            <c:numRef>
              <c:f>Sheet1!$B$18:$B$23</c:f>
              <c:numCache>
                <c:formatCode>0.00</c:formatCode>
                <c:ptCount val="5"/>
                <c:pt idx="0">
                  <c:v>72.75</c:v>
                </c:pt>
                <c:pt idx="1">
                  <c:v>66.2</c:v>
                </c:pt>
                <c:pt idx="2">
                  <c:v>75</c:v>
                </c:pt>
                <c:pt idx="3">
                  <c:v>65.625</c:v>
                </c:pt>
                <c:pt idx="4">
                  <c:v>85</c:v>
                </c:pt>
              </c:numCache>
            </c:numRef>
          </c:val>
          <c:extLst>
            <c:ext xmlns:c16="http://schemas.microsoft.com/office/drawing/2014/chart" uri="{C3380CC4-5D6E-409C-BE32-E72D297353CC}">
              <c16:uniqueId val="{00000000-DD6A-4B7B-A82D-1F4BDE9B2D99}"/>
            </c:ext>
          </c:extLst>
        </c:ser>
        <c:dLbls>
          <c:showLegendKey val="0"/>
          <c:showVal val="0"/>
          <c:showCatName val="0"/>
          <c:showSerName val="0"/>
          <c:showPercent val="0"/>
          <c:showBubbleSize val="0"/>
        </c:dLbls>
        <c:gapWidth val="150"/>
        <c:shape val="box"/>
        <c:axId val="1225325071"/>
        <c:axId val="1225315471"/>
        <c:axId val="0"/>
      </c:bar3DChart>
      <c:catAx>
        <c:axId val="12253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15471"/>
        <c:crosses val="autoZero"/>
        <c:auto val="1"/>
        <c:lblAlgn val="ctr"/>
        <c:lblOffset val="100"/>
        <c:noMultiLvlLbl val="0"/>
      </c:catAx>
      <c:valAx>
        <c:axId val="12253154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905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 (version 1).xlsb.xlsx]Sheet1!PivotTable9</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FC-46D0-9A80-F27E870E58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FC-46D0-9A80-F27E870E58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FC-46D0-9A80-F27E870E5849}"/>
              </c:ext>
            </c:extLst>
          </c:dPt>
          <c:cat>
            <c:strRef>
              <c:f>Sheet1!$A$26:$A$29</c:f>
              <c:strCache>
                <c:ptCount val="3"/>
                <c:pt idx="0">
                  <c:v>Female</c:v>
                </c:pt>
                <c:pt idx="1">
                  <c:v>Male</c:v>
                </c:pt>
                <c:pt idx="2">
                  <c:v>Other</c:v>
                </c:pt>
              </c:strCache>
            </c:strRef>
          </c:cat>
          <c:val>
            <c:numRef>
              <c:f>Sheet1!$B$26:$B$29</c:f>
              <c:numCache>
                <c:formatCode>0.00</c:formatCode>
                <c:ptCount val="3"/>
                <c:pt idx="0">
                  <c:v>63.875</c:v>
                </c:pt>
                <c:pt idx="1">
                  <c:v>83.375</c:v>
                </c:pt>
                <c:pt idx="2">
                  <c:v>64.25</c:v>
                </c:pt>
              </c:numCache>
            </c:numRef>
          </c:val>
          <c:extLst>
            <c:ext xmlns:c16="http://schemas.microsoft.com/office/drawing/2014/chart" uri="{C3380CC4-5D6E-409C-BE32-E72D297353CC}">
              <c16:uniqueId val="{00000006-5AFC-46D0-9A80-F27E870E58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905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 (version 1).xlsb.xlsx]Sheet1!PivotTable5</c:name>
    <c:fmtId val="3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Sheet1!$D$25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666-42AC-BD81-A4EAE8334E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666-42AC-BD81-A4EAE8334E30}"/>
              </c:ext>
            </c:extLst>
          </c:dPt>
          <c:cat>
            <c:strRef>
              <c:f>Sheet1!$C$26:$C$28</c:f>
              <c:strCache>
                <c:ptCount val="2"/>
                <c:pt idx="0">
                  <c:v>High Cost</c:v>
                </c:pt>
                <c:pt idx="1">
                  <c:v>Low Cost</c:v>
                </c:pt>
              </c:strCache>
            </c:strRef>
          </c:cat>
          <c:val>
            <c:numRef>
              <c:f>Sheet1!$D$26:$D$28</c:f>
              <c:numCache>
                <c:formatCode>0.00</c:formatCode>
                <c:ptCount val="2"/>
                <c:pt idx="0">
                  <c:v>71.2</c:v>
                </c:pt>
                <c:pt idx="1">
                  <c:v>70</c:v>
                </c:pt>
              </c:numCache>
            </c:numRef>
          </c:val>
          <c:extLst>
            <c:ext xmlns:c16="http://schemas.microsoft.com/office/drawing/2014/chart" uri="{C3380CC4-5D6E-409C-BE32-E72D297353CC}">
              <c16:uniqueId val="{00000004-7666-42AC-BD81-A4EAE8334E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1905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A52EABF1-2E2A-47CD-918F-A58CC63B8921}">
          <cx:dataId val="0"/>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Average Recovery Score VS Treatment Type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Recovery Score VS Treatment Type</a:t>
          </a:r>
        </a:p>
      </cx:txPr>
    </cx:title>
    <cx:plotArea>
      <cx:plotAreaRegion>
        <cx:series layoutId="funnel" uniqueId="{8E116E54-9B32-495F-B4D3-E877CF4772D0}">
          <cx:tx>
            <cx:txData>
              <cx:f/>
              <cx:v>Treatment Type</cx:v>
            </cx:txData>
          </cx:tx>
          <cx:dataId val="0"/>
        </cx:series>
      </cx:plotAreaRegion>
      <cx:axis id="0">
        <cx:catScaling gapWidth="0.0599999987"/>
        <cx:tickLabels/>
      </cx:axis>
    </cx:plotArea>
  </cx:chart>
  <cx:spPr>
    <a:effectLst>
      <a:outerShdw blurRad="1905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Average Recovery Score By Age Group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Recovery Score By Age Group</a:t>
          </a:r>
        </a:p>
      </cx:txPr>
    </cx:title>
    <cx:plotArea>
      <cx:plotAreaRegion>
        <cx:series layoutId="treemap" uniqueId="{A52EABF1-2E2A-47CD-918F-A58CC63B8921}">
          <cx:dataId val="0"/>
          <cx:layoutPr/>
        </cx:series>
      </cx:plotAreaRegion>
    </cx:plotArea>
    <cx:legend pos="t" align="ctr" overlay="0"/>
  </cx:chart>
  <cx:spPr>
    <a:effectLst>
      <a:outerShdw blurRad="1905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microsoft.com/office/2014/relationships/chartEx" Target="../charts/chartEx2.xml"/><Relationship Id="rId7" Type="http://schemas.openxmlformats.org/officeDocument/2006/relationships/image" Target="../media/image2.png"/><Relationship Id="rId12" Type="http://schemas.openxmlformats.org/officeDocument/2006/relationships/image" Target="../media/image7.svg"/><Relationship Id="rId17" Type="http://schemas.microsoft.com/office/2014/relationships/chartEx" Target="../charts/chartEx3.xml"/><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4.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13</xdr:col>
      <xdr:colOff>38100</xdr:colOff>
      <xdr:row>13</xdr:row>
      <xdr:rowOff>95250</xdr:rowOff>
    </xdr:from>
    <xdr:to>
      <xdr:col>16</xdr:col>
      <xdr:colOff>38100</xdr:colOff>
      <xdr:row>18</xdr:row>
      <xdr:rowOff>76200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F8E2FCE7-158C-02C6-FB0D-56C953E448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72375" y="257175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8</xdr:row>
      <xdr:rowOff>114300</xdr:rowOff>
    </xdr:from>
    <xdr:to>
      <xdr:col>16</xdr:col>
      <xdr:colOff>38100</xdr:colOff>
      <xdr:row>13</xdr:row>
      <xdr:rowOff>76200</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9788AB4E-C6BC-9383-A3F7-E1EE8F13197E}"/>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7572375" y="16383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3</xdr:row>
      <xdr:rowOff>142875</xdr:rowOff>
    </xdr:from>
    <xdr:to>
      <xdr:col>16</xdr:col>
      <xdr:colOff>38100</xdr:colOff>
      <xdr:row>8</xdr:row>
      <xdr:rowOff>95250</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D6C408D0-7500-FC33-FAEA-2EAA29C4E57C}"/>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7572375" y="71437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xdr:colOff>
      <xdr:row>0</xdr:row>
      <xdr:rowOff>19050</xdr:rowOff>
    </xdr:from>
    <xdr:to>
      <xdr:col>16</xdr:col>
      <xdr:colOff>47625</xdr:colOff>
      <xdr:row>3</xdr:row>
      <xdr:rowOff>104775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C6C9A01-A13A-7A63-63AD-96FC3C06E9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81900" y="19050"/>
              <a:ext cx="1828800"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466725</xdr:colOff>
      <xdr:row>22</xdr:row>
      <xdr:rowOff>180975</xdr:rowOff>
    </xdr:from>
    <xdr:to>
      <xdr:col>8</xdr:col>
      <xdr:colOff>1200150</xdr:colOff>
      <xdr:row>37</xdr:row>
      <xdr:rowOff>66675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EC745D48-730C-2E92-AAAC-DF883AD4BF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29325" y="4371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317500</xdr:colOff>
      <xdr:row>5</xdr:row>
      <xdr:rowOff>85725</xdr:rowOff>
    </xdr:to>
    <xdr:sp macro="" textlink="">
      <xdr:nvSpPr>
        <xdr:cNvPr id="2" name="Rectangle: Top Corners Rounded 1">
          <a:extLst>
            <a:ext uri="{FF2B5EF4-FFF2-40B4-BE49-F238E27FC236}">
              <a16:creationId xmlns:a16="http://schemas.microsoft.com/office/drawing/2014/main" id="{F3D12B53-5CAD-BBDE-7857-7D5AA40AED87}"/>
            </a:ext>
          </a:extLst>
        </xdr:cNvPr>
        <xdr:cNvSpPr/>
      </xdr:nvSpPr>
      <xdr:spPr>
        <a:xfrm>
          <a:off x="600075" y="190500"/>
          <a:ext cx="9538758" cy="847725"/>
        </a:xfrm>
        <a:prstGeom prst="round2Same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2"/>
              </a:solidFill>
              <a:latin typeface="Calibri" panose="020F0502020204030204" pitchFamily="34" charset="0"/>
              <a:cs typeface="Calibri" panose="020F0502020204030204" pitchFamily="34" charset="0"/>
            </a:rPr>
            <a:t>		Hospital</a:t>
          </a:r>
          <a:r>
            <a:rPr lang="en-US" sz="2800" b="1" baseline="0">
              <a:solidFill>
                <a:schemeClr val="tx2"/>
              </a:solidFill>
              <a:latin typeface="Calibri" panose="020F0502020204030204" pitchFamily="34" charset="0"/>
              <a:cs typeface="Calibri" panose="020F0502020204030204" pitchFamily="34" charset="0"/>
            </a:rPr>
            <a:t> Patient Treatment and Recovery Analysis</a:t>
          </a:r>
          <a:endParaRPr lang="en-US" sz="28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6</xdr:col>
      <xdr:colOff>413808</xdr:colOff>
      <xdr:row>3</xdr:row>
      <xdr:rowOff>64558</xdr:rowOff>
    </xdr:from>
    <xdr:to>
      <xdr:col>11</xdr:col>
      <xdr:colOff>13758</xdr:colOff>
      <xdr:row>4</xdr:row>
      <xdr:rowOff>169333</xdr:rowOff>
    </xdr:to>
    <xdr:sp macro="" textlink="">
      <xdr:nvSpPr>
        <xdr:cNvPr id="3" name="TextBox 2">
          <a:extLst>
            <a:ext uri="{FF2B5EF4-FFF2-40B4-BE49-F238E27FC236}">
              <a16:creationId xmlns:a16="http://schemas.microsoft.com/office/drawing/2014/main" id="{797DBC53-48D4-0B4B-C0F0-A77C9F58694D}"/>
            </a:ext>
          </a:extLst>
        </xdr:cNvPr>
        <xdr:cNvSpPr txBox="1"/>
      </xdr:nvSpPr>
      <xdr:spPr>
        <a:xfrm>
          <a:off x="4096808" y="636058"/>
          <a:ext cx="2669117" cy="2952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2">
                  <a:lumMod val="75000"/>
                </a:schemeClr>
              </a:solidFill>
              <a:latin typeface="Calibri" panose="020F0502020204030204" pitchFamily="34" charset="0"/>
              <a:cs typeface="Calibri" panose="020F0502020204030204" pitchFamily="34" charset="0"/>
            </a:rPr>
            <a:t>What Drives Better Recovery ?</a:t>
          </a:r>
        </a:p>
      </xdr:txBody>
    </xdr:sp>
    <xdr:clientData/>
  </xdr:twoCellAnchor>
  <xdr:twoCellAnchor editAs="oneCell">
    <xdr:from>
      <xdr:col>16</xdr:col>
      <xdr:colOff>13608</xdr:colOff>
      <xdr:row>24</xdr:row>
      <xdr:rowOff>111576</xdr:rowOff>
    </xdr:from>
    <xdr:to>
      <xdr:col>19</xdr:col>
      <xdr:colOff>13608</xdr:colOff>
      <xdr:row>35</xdr:row>
      <xdr:rowOff>126999</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5ADF8FBC-C5FF-476F-A5D5-E48F5F9563A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448775" y="4683576"/>
              <a:ext cx="1841500" cy="2110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16330</xdr:colOff>
      <xdr:row>16</xdr:row>
      <xdr:rowOff>111578</xdr:rowOff>
    </xdr:from>
    <xdr:to>
      <xdr:col>19</xdr:col>
      <xdr:colOff>16330</xdr:colOff>
      <xdr:row>24</xdr:row>
      <xdr:rowOff>81643</xdr:rowOff>
    </xdr:to>
    <mc:AlternateContent xmlns:mc="http://schemas.openxmlformats.org/markup-compatibility/2006" xmlns:a14="http://schemas.microsoft.com/office/drawing/2010/main">
      <mc:Choice Requires="a14">
        <xdr:graphicFrame macro="">
          <xdr:nvGraphicFramePr>
            <xdr:cNvPr id="5" name="Treatment Type 1">
              <a:extLst>
                <a:ext uri="{FF2B5EF4-FFF2-40B4-BE49-F238E27FC236}">
                  <a16:creationId xmlns:a16="http://schemas.microsoft.com/office/drawing/2014/main" id="{69787BDC-BE48-4128-8EEC-35AA1E0916A3}"/>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0451497" y="3159578"/>
              <a:ext cx="1841500" cy="1494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7</xdr:row>
      <xdr:rowOff>28575</xdr:rowOff>
    </xdr:from>
    <xdr:to>
      <xdr:col>19</xdr:col>
      <xdr:colOff>19050</xdr:colOff>
      <xdr:row>16</xdr:row>
      <xdr:rowOff>95250</xdr:rowOff>
    </xdr:to>
    <mc:AlternateContent xmlns:mc="http://schemas.openxmlformats.org/markup-compatibility/2006" xmlns:a14="http://schemas.microsoft.com/office/drawing/2010/main">
      <mc:Choice Requires="a14">
        <xdr:graphicFrame macro="">
          <xdr:nvGraphicFramePr>
            <xdr:cNvPr id="6" name="Doctor Name 1">
              <a:extLst>
                <a:ext uri="{FF2B5EF4-FFF2-40B4-BE49-F238E27FC236}">
                  <a16:creationId xmlns:a16="http://schemas.microsoft.com/office/drawing/2014/main" id="{DEF6B849-2ED3-4B5A-B4AE-54DDBBCB2747}"/>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0454217" y="1362075"/>
              <a:ext cx="18415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xdr:row>
      <xdr:rowOff>0</xdr:rowOff>
    </xdr:from>
    <xdr:to>
      <xdr:col>19</xdr:col>
      <xdr:colOff>9525</xdr:colOff>
      <xdr:row>7</xdr:row>
      <xdr:rowOff>10583</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8998A435-595C-4999-9B2C-D877C4E6F8C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44692" y="190500"/>
              <a:ext cx="1841500" cy="1153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6</xdr:row>
      <xdr:rowOff>105833</xdr:rowOff>
    </xdr:from>
    <xdr:to>
      <xdr:col>3</xdr:col>
      <xdr:colOff>0</xdr:colOff>
      <xdr:row>10</xdr:row>
      <xdr:rowOff>74083</xdr:rowOff>
    </xdr:to>
    <xdr:sp macro="" textlink="">
      <xdr:nvSpPr>
        <xdr:cNvPr id="8" name="Rectangle: Top Corners Rounded 7">
          <a:extLst>
            <a:ext uri="{FF2B5EF4-FFF2-40B4-BE49-F238E27FC236}">
              <a16:creationId xmlns:a16="http://schemas.microsoft.com/office/drawing/2014/main" id="{157DDA31-84CE-0FA0-A3E3-99AEFA6A78C5}"/>
            </a:ext>
          </a:extLst>
        </xdr:cNvPr>
        <xdr:cNvSpPr/>
      </xdr:nvSpPr>
      <xdr:spPr>
        <a:xfrm>
          <a:off x="95250" y="1248833"/>
          <a:ext cx="1746250" cy="730250"/>
        </a:xfrm>
        <a:prstGeom prst="round2Same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solidFill>
              <a:latin typeface="Calibri" panose="020F0502020204030204" pitchFamily="34" charset="0"/>
              <a:cs typeface="Calibri" panose="020F0502020204030204" pitchFamily="34" charset="0"/>
            </a:rPr>
            <a:t>Patients</a:t>
          </a:r>
          <a:r>
            <a:rPr lang="en-US" sz="1600" b="1" baseline="0">
              <a:solidFill>
                <a:schemeClr val="tx2"/>
              </a:solidFill>
              <a:latin typeface="Calibri" panose="020F0502020204030204" pitchFamily="34" charset="0"/>
              <a:cs typeface="Calibri" panose="020F0502020204030204" pitchFamily="34" charset="0"/>
            </a:rPr>
            <a:t> Count</a:t>
          </a:r>
          <a:endParaRPr lang="en-US" sz="16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1</xdr:col>
      <xdr:colOff>423333</xdr:colOff>
      <xdr:row>8</xdr:row>
      <xdr:rowOff>10584</xdr:rowOff>
    </xdr:from>
    <xdr:to>
      <xdr:col>2</xdr:col>
      <xdr:colOff>529167</xdr:colOff>
      <xdr:row>10</xdr:row>
      <xdr:rowOff>42334</xdr:rowOff>
    </xdr:to>
    <xdr:sp macro="" textlink="Sheet1!A4">
      <xdr:nvSpPr>
        <xdr:cNvPr id="9" name="TextBox 8">
          <a:extLst>
            <a:ext uri="{FF2B5EF4-FFF2-40B4-BE49-F238E27FC236}">
              <a16:creationId xmlns:a16="http://schemas.microsoft.com/office/drawing/2014/main" id="{D846450C-8234-BED6-9E40-C7EE38B6A7CF}"/>
            </a:ext>
          </a:extLst>
        </xdr:cNvPr>
        <xdr:cNvSpPr txBox="1"/>
      </xdr:nvSpPr>
      <xdr:spPr>
        <a:xfrm>
          <a:off x="1037166" y="1534584"/>
          <a:ext cx="719668" cy="412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DF8E99-73DB-47C5-B7D2-2816CA047274}" type="TxLink">
            <a:rPr lang="en-US" sz="2400" b="1" i="0" u="none" strike="noStrike">
              <a:solidFill>
                <a:schemeClr val="accent2">
                  <a:lumMod val="75000"/>
                </a:schemeClr>
              </a:solidFill>
              <a:latin typeface="Calibri" panose="020F0502020204030204" pitchFamily="34" charset="0"/>
              <a:cs typeface="Calibri" panose="020F0502020204030204" pitchFamily="34" charset="0"/>
            </a:rPr>
            <a:pPr/>
            <a:t>24</a:t>
          </a:fld>
          <a:endParaRPr lang="en-US" sz="2400" b="1">
            <a:solidFill>
              <a:schemeClr val="accent2">
                <a:lumMod val="75000"/>
              </a:schemeClr>
            </a:solidFill>
            <a:latin typeface="Calibri" panose="020F0502020204030204" pitchFamily="34" charset="0"/>
            <a:cs typeface="Calibri" panose="020F0502020204030204" pitchFamily="34" charset="0"/>
          </a:endParaRPr>
        </a:p>
      </xdr:txBody>
    </xdr:sp>
    <xdr:clientData/>
  </xdr:twoCellAnchor>
  <xdr:twoCellAnchor>
    <xdr:from>
      <xdr:col>3</xdr:col>
      <xdr:colOff>99484</xdr:colOff>
      <xdr:row>6</xdr:row>
      <xdr:rowOff>99483</xdr:rowOff>
    </xdr:from>
    <xdr:to>
      <xdr:col>6</xdr:col>
      <xdr:colOff>4234</xdr:colOff>
      <xdr:row>10</xdr:row>
      <xdr:rowOff>67733</xdr:rowOff>
    </xdr:to>
    <xdr:sp macro="" textlink="">
      <xdr:nvSpPr>
        <xdr:cNvPr id="10" name="Rectangle: Top Corners Rounded 9">
          <a:extLst>
            <a:ext uri="{FF2B5EF4-FFF2-40B4-BE49-F238E27FC236}">
              <a16:creationId xmlns:a16="http://schemas.microsoft.com/office/drawing/2014/main" id="{27C38147-B0F6-43FE-A114-0C7CFDCD4307}"/>
            </a:ext>
          </a:extLst>
        </xdr:cNvPr>
        <xdr:cNvSpPr/>
      </xdr:nvSpPr>
      <xdr:spPr>
        <a:xfrm>
          <a:off x="2554817" y="1242483"/>
          <a:ext cx="1746250" cy="730250"/>
        </a:xfrm>
        <a:prstGeom prst="round2Same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Calibri" panose="020F0502020204030204" pitchFamily="34" charset="0"/>
              <a:cs typeface="Calibri" panose="020F0502020204030204" pitchFamily="34" charset="0"/>
            </a:rPr>
            <a:t>Patients</a:t>
          </a:r>
          <a:r>
            <a:rPr lang="en-US" sz="1200" b="1" baseline="0">
              <a:solidFill>
                <a:schemeClr val="tx2"/>
              </a:solidFill>
              <a:latin typeface="Calibri" panose="020F0502020204030204" pitchFamily="34" charset="0"/>
              <a:cs typeface="Calibri" panose="020F0502020204030204" pitchFamily="34" charset="0"/>
            </a:rPr>
            <a:t> Average Age</a:t>
          </a:r>
          <a:endParaRPr lang="en-US" sz="12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4</xdr:col>
      <xdr:colOff>222251</xdr:colOff>
      <xdr:row>8</xdr:row>
      <xdr:rowOff>4234</xdr:rowOff>
    </xdr:from>
    <xdr:to>
      <xdr:col>5</xdr:col>
      <xdr:colOff>533402</xdr:colOff>
      <xdr:row>10</xdr:row>
      <xdr:rowOff>35984</xdr:rowOff>
    </xdr:to>
    <xdr:sp macro="" textlink="Sheet1!B4">
      <xdr:nvSpPr>
        <xdr:cNvPr id="11" name="TextBox 10">
          <a:extLst>
            <a:ext uri="{FF2B5EF4-FFF2-40B4-BE49-F238E27FC236}">
              <a16:creationId xmlns:a16="http://schemas.microsoft.com/office/drawing/2014/main" id="{DF9D48FE-8172-45E1-A16F-F2F8E41F7057}"/>
            </a:ext>
          </a:extLst>
        </xdr:cNvPr>
        <xdr:cNvSpPr txBox="1"/>
      </xdr:nvSpPr>
      <xdr:spPr>
        <a:xfrm>
          <a:off x="3291418" y="1528234"/>
          <a:ext cx="924984" cy="412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1A7E9-7A44-4E59-8A54-8F0C99E922BA}" type="TxLink">
            <a:rPr lang="en-US" sz="2400" b="1" i="0" u="none" strike="noStrike">
              <a:solidFill>
                <a:schemeClr val="accent2">
                  <a:lumMod val="75000"/>
                </a:schemeClr>
              </a:solidFill>
              <a:latin typeface="Calibri" panose="020F0502020204030204" pitchFamily="34" charset="0"/>
              <a:cs typeface="Calibri" panose="020F0502020204030204" pitchFamily="34" charset="0"/>
            </a:rPr>
            <a:pPr/>
            <a:t>45.42</a:t>
          </a:fld>
          <a:endParaRPr lang="en-US" sz="2400" b="1">
            <a:solidFill>
              <a:schemeClr val="accent2">
                <a:lumMod val="75000"/>
              </a:schemeClr>
            </a:solidFill>
            <a:latin typeface="Calibri" panose="020F0502020204030204" pitchFamily="34" charset="0"/>
            <a:cs typeface="Calibri" panose="020F0502020204030204" pitchFamily="34" charset="0"/>
          </a:endParaRPr>
        </a:p>
      </xdr:txBody>
    </xdr:sp>
    <xdr:clientData/>
  </xdr:twoCellAnchor>
  <xdr:twoCellAnchor>
    <xdr:from>
      <xdr:col>6</xdr:col>
      <xdr:colOff>167217</xdr:colOff>
      <xdr:row>6</xdr:row>
      <xdr:rowOff>103716</xdr:rowOff>
    </xdr:from>
    <xdr:to>
      <xdr:col>9</xdr:col>
      <xdr:colOff>71967</xdr:colOff>
      <xdr:row>10</xdr:row>
      <xdr:rowOff>71966</xdr:rowOff>
    </xdr:to>
    <xdr:sp macro="" textlink="">
      <xdr:nvSpPr>
        <xdr:cNvPr id="12" name="Rectangle: Top Corners Rounded 11">
          <a:extLst>
            <a:ext uri="{FF2B5EF4-FFF2-40B4-BE49-F238E27FC236}">
              <a16:creationId xmlns:a16="http://schemas.microsoft.com/office/drawing/2014/main" id="{9D9814A6-3F37-4A9D-BBCC-785EF254DA43}"/>
            </a:ext>
          </a:extLst>
        </xdr:cNvPr>
        <xdr:cNvSpPr/>
      </xdr:nvSpPr>
      <xdr:spPr>
        <a:xfrm>
          <a:off x="4464050" y="1246716"/>
          <a:ext cx="1746250" cy="730250"/>
        </a:xfrm>
        <a:prstGeom prst="round2Same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Calibri" panose="020F0502020204030204" pitchFamily="34" charset="0"/>
              <a:cs typeface="Calibri" panose="020F0502020204030204" pitchFamily="34" charset="0"/>
            </a:rPr>
            <a:t>Treatment</a:t>
          </a:r>
          <a:r>
            <a:rPr lang="en-US" sz="1200" b="1" baseline="0">
              <a:solidFill>
                <a:schemeClr val="tx2"/>
              </a:solidFill>
              <a:latin typeface="Calibri" panose="020F0502020204030204" pitchFamily="34" charset="0"/>
              <a:cs typeface="Calibri" panose="020F0502020204030204" pitchFamily="34" charset="0"/>
            </a:rPr>
            <a:t> Avg Cost</a:t>
          </a:r>
          <a:endParaRPr lang="en-US" sz="12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6</xdr:col>
      <xdr:colOff>560917</xdr:colOff>
      <xdr:row>8</xdr:row>
      <xdr:rowOff>8467</xdr:rowOff>
    </xdr:from>
    <xdr:to>
      <xdr:col>8</xdr:col>
      <xdr:colOff>601134</xdr:colOff>
      <xdr:row>10</xdr:row>
      <xdr:rowOff>40217</xdr:rowOff>
    </xdr:to>
    <xdr:sp macro="" textlink="Sheet1!C4">
      <xdr:nvSpPr>
        <xdr:cNvPr id="13" name="TextBox 12">
          <a:extLst>
            <a:ext uri="{FF2B5EF4-FFF2-40B4-BE49-F238E27FC236}">
              <a16:creationId xmlns:a16="http://schemas.microsoft.com/office/drawing/2014/main" id="{ABDF543F-1BDC-409B-9A3B-C43F025E237D}"/>
            </a:ext>
          </a:extLst>
        </xdr:cNvPr>
        <xdr:cNvSpPr txBox="1"/>
      </xdr:nvSpPr>
      <xdr:spPr>
        <a:xfrm>
          <a:off x="4243917" y="1532467"/>
          <a:ext cx="1267884" cy="412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A3EDBE-C229-4218-BBAB-4B7BD6BBDC79}" type="TxLink">
            <a:rPr lang="en-US" sz="2400" b="1" i="0" u="none" strike="noStrike">
              <a:solidFill>
                <a:schemeClr val="accent2">
                  <a:lumMod val="75000"/>
                </a:schemeClr>
              </a:solidFill>
              <a:latin typeface="Calibri" panose="020F0502020204030204" pitchFamily="34" charset="0"/>
              <a:cs typeface="Calibri" panose="020F0502020204030204" pitchFamily="34" charset="0"/>
            </a:rPr>
            <a:pPr/>
            <a:t>75039.3</a:t>
          </a:fld>
          <a:endParaRPr lang="en-US" sz="2400" b="1">
            <a:solidFill>
              <a:schemeClr val="accent2">
                <a:lumMod val="75000"/>
              </a:schemeClr>
            </a:solidFill>
            <a:latin typeface="Calibri" panose="020F0502020204030204" pitchFamily="34" charset="0"/>
            <a:cs typeface="Calibri" panose="020F0502020204030204" pitchFamily="34" charset="0"/>
          </a:endParaRPr>
        </a:p>
      </xdr:txBody>
    </xdr:sp>
    <xdr:clientData/>
  </xdr:twoCellAnchor>
  <xdr:twoCellAnchor>
    <xdr:from>
      <xdr:col>9</xdr:col>
      <xdr:colOff>275168</xdr:colOff>
      <xdr:row>6</xdr:row>
      <xdr:rowOff>95250</xdr:rowOff>
    </xdr:from>
    <xdr:to>
      <xdr:col>12</xdr:col>
      <xdr:colOff>158750</xdr:colOff>
      <xdr:row>10</xdr:row>
      <xdr:rowOff>63500</xdr:rowOff>
    </xdr:to>
    <xdr:sp macro="" textlink="">
      <xdr:nvSpPr>
        <xdr:cNvPr id="14" name="Rectangle: Top Corners Rounded 13">
          <a:extLst>
            <a:ext uri="{FF2B5EF4-FFF2-40B4-BE49-F238E27FC236}">
              <a16:creationId xmlns:a16="http://schemas.microsoft.com/office/drawing/2014/main" id="{E8754A93-FEB7-40A9-B749-4657A67CF866}"/>
            </a:ext>
          </a:extLst>
        </xdr:cNvPr>
        <xdr:cNvSpPr/>
      </xdr:nvSpPr>
      <xdr:spPr>
        <a:xfrm>
          <a:off x="5799668" y="1238250"/>
          <a:ext cx="1725082" cy="730250"/>
        </a:xfrm>
        <a:prstGeom prst="round2Same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Calibri" panose="020F0502020204030204" pitchFamily="34" charset="0"/>
              <a:cs typeface="Calibri" panose="020F0502020204030204" pitchFamily="34" charset="0"/>
            </a:rPr>
            <a:t>Average</a:t>
          </a:r>
          <a:r>
            <a:rPr lang="en-US" sz="1200" b="1" baseline="0">
              <a:solidFill>
                <a:schemeClr val="tx2"/>
              </a:solidFill>
              <a:latin typeface="Calibri" panose="020F0502020204030204" pitchFamily="34" charset="0"/>
              <a:cs typeface="Calibri" panose="020F0502020204030204" pitchFamily="34" charset="0"/>
            </a:rPr>
            <a:t> Hospital Stay</a:t>
          </a:r>
          <a:endParaRPr lang="en-US" sz="12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10</xdr:col>
      <xdr:colOff>444500</xdr:colOff>
      <xdr:row>8</xdr:row>
      <xdr:rowOff>1</xdr:rowOff>
    </xdr:from>
    <xdr:to>
      <xdr:col>12</xdr:col>
      <xdr:colOff>116417</xdr:colOff>
      <xdr:row>10</xdr:row>
      <xdr:rowOff>31751</xdr:rowOff>
    </xdr:to>
    <xdr:sp macro="" textlink="Sheet1!D4">
      <xdr:nvSpPr>
        <xdr:cNvPr id="15" name="TextBox 14">
          <a:extLst>
            <a:ext uri="{FF2B5EF4-FFF2-40B4-BE49-F238E27FC236}">
              <a16:creationId xmlns:a16="http://schemas.microsoft.com/office/drawing/2014/main" id="{B505F6C2-F6F4-420B-8EB5-5C62FAE004E2}"/>
            </a:ext>
          </a:extLst>
        </xdr:cNvPr>
        <xdr:cNvSpPr txBox="1"/>
      </xdr:nvSpPr>
      <xdr:spPr>
        <a:xfrm>
          <a:off x="7196667" y="1524001"/>
          <a:ext cx="899583" cy="412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E8DF13-50BD-4E03-9D36-38B5F8291424}" type="TxLink">
            <a:rPr lang="en-US" sz="2400" b="1" i="0" u="none" strike="noStrike">
              <a:solidFill>
                <a:schemeClr val="accent2">
                  <a:lumMod val="75000"/>
                </a:schemeClr>
              </a:solidFill>
              <a:latin typeface="Calibri" panose="020F0502020204030204" pitchFamily="34" charset="0"/>
              <a:cs typeface="Calibri" panose="020F0502020204030204" pitchFamily="34" charset="0"/>
            </a:rPr>
            <a:pPr/>
            <a:t>15.83</a:t>
          </a:fld>
          <a:endParaRPr lang="en-US" sz="2400" b="1">
            <a:solidFill>
              <a:schemeClr val="accent2">
                <a:lumMod val="75000"/>
              </a:schemeClr>
            </a:solidFill>
            <a:latin typeface="Calibri" panose="020F0502020204030204" pitchFamily="34" charset="0"/>
            <a:cs typeface="Calibri" panose="020F0502020204030204" pitchFamily="34" charset="0"/>
          </a:endParaRPr>
        </a:p>
      </xdr:txBody>
    </xdr:sp>
    <xdr:clientData/>
  </xdr:twoCellAnchor>
  <xdr:twoCellAnchor>
    <xdr:from>
      <xdr:col>12</xdr:col>
      <xdr:colOff>296334</xdr:colOff>
      <xdr:row>6</xdr:row>
      <xdr:rowOff>116417</xdr:rowOff>
    </xdr:from>
    <xdr:to>
      <xdr:col>15</xdr:col>
      <xdr:colOff>296334</xdr:colOff>
      <xdr:row>10</xdr:row>
      <xdr:rowOff>84667</xdr:rowOff>
    </xdr:to>
    <xdr:sp macro="" textlink="">
      <xdr:nvSpPr>
        <xdr:cNvPr id="16" name="Rectangle: Top Corners Rounded 15">
          <a:extLst>
            <a:ext uri="{FF2B5EF4-FFF2-40B4-BE49-F238E27FC236}">
              <a16:creationId xmlns:a16="http://schemas.microsoft.com/office/drawing/2014/main" id="{60B77430-12AB-46E3-B01B-CA5F0928AB03}"/>
            </a:ext>
          </a:extLst>
        </xdr:cNvPr>
        <xdr:cNvSpPr/>
      </xdr:nvSpPr>
      <xdr:spPr>
        <a:xfrm>
          <a:off x="8276167" y="1259417"/>
          <a:ext cx="1841500" cy="730250"/>
        </a:xfrm>
        <a:prstGeom prst="round2Same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2"/>
              </a:solidFill>
              <a:latin typeface="Calibri" panose="020F0502020204030204" pitchFamily="34" charset="0"/>
              <a:cs typeface="Calibri" panose="020F0502020204030204" pitchFamily="34" charset="0"/>
            </a:rPr>
            <a:t>Avg</a:t>
          </a:r>
          <a:r>
            <a:rPr lang="en-US" sz="1200" b="1" baseline="0">
              <a:solidFill>
                <a:schemeClr val="tx2"/>
              </a:solidFill>
              <a:latin typeface="Calibri" panose="020F0502020204030204" pitchFamily="34" charset="0"/>
              <a:cs typeface="Calibri" panose="020F0502020204030204" pitchFamily="34" charset="0"/>
            </a:rPr>
            <a:t> Recovery Score</a:t>
          </a:r>
          <a:endParaRPr lang="en-US" sz="12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13</xdr:col>
      <xdr:colOff>465666</xdr:colOff>
      <xdr:row>8</xdr:row>
      <xdr:rowOff>21168</xdr:rowOff>
    </xdr:from>
    <xdr:to>
      <xdr:col>15</xdr:col>
      <xdr:colOff>296333</xdr:colOff>
      <xdr:row>10</xdr:row>
      <xdr:rowOff>52918</xdr:rowOff>
    </xdr:to>
    <xdr:sp macro="" textlink="Sheet1!E4">
      <xdr:nvSpPr>
        <xdr:cNvPr id="17" name="TextBox 16">
          <a:extLst>
            <a:ext uri="{FF2B5EF4-FFF2-40B4-BE49-F238E27FC236}">
              <a16:creationId xmlns:a16="http://schemas.microsoft.com/office/drawing/2014/main" id="{3F77C199-B7E5-41E7-BD58-C9736E0E0DDB}"/>
            </a:ext>
          </a:extLst>
        </xdr:cNvPr>
        <xdr:cNvSpPr txBox="1"/>
      </xdr:nvSpPr>
      <xdr:spPr>
        <a:xfrm>
          <a:off x="9059333" y="1545168"/>
          <a:ext cx="1058333" cy="412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4DD319-3AB3-4887-A1DD-5B1595E62887}" type="TxLink">
            <a:rPr lang="en-US" sz="2400" b="1" i="0" u="none" strike="noStrike">
              <a:solidFill>
                <a:schemeClr val="accent2">
                  <a:lumMod val="75000"/>
                </a:schemeClr>
              </a:solidFill>
              <a:latin typeface="Calibri" panose="020F0502020204030204" pitchFamily="34" charset="0"/>
              <a:cs typeface="Calibri" panose="020F0502020204030204" pitchFamily="34" charset="0"/>
            </a:rPr>
            <a:pPr/>
            <a:t>70.50</a:t>
          </a:fld>
          <a:endParaRPr lang="en-US" sz="2400" b="1">
            <a:solidFill>
              <a:schemeClr val="accent2">
                <a:lumMod val="75000"/>
              </a:schemeClr>
            </a:solidFill>
            <a:latin typeface="Calibri" panose="020F0502020204030204" pitchFamily="34" charset="0"/>
            <a:cs typeface="Calibri" panose="020F0502020204030204" pitchFamily="34" charset="0"/>
          </a:endParaRPr>
        </a:p>
      </xdr:txBody>
    </xdr:sp>
    <xdr:clientData/>
  </xdr:twoCellAnchor>
  <xdr:twoCellAnchor>
    <xdr:from>
      <xdr:col>0</xdr:col>
      <xdr:colOff>137585</xdr:colOff>
      <xdr:row>10</xdr:row>
      <xdr:rowOff>179917</xdr:rowOff>
    </xdr:from>
    <xdr:to>
      <xdr:col>5</xdr:col>
      <xdr:colOff>31750</xdr:colOff>
      <xdr:row>21</xdr:row>
      <xdr:rowOff>127000</xdr:rowOff>
    </xdr:to>
    <xdr:graphicFrame macro="">
      <xdr:nvGraphicFramePr>
        <xdr:cNvPr id="20" name="Chart 19">
          <a:extLst>
            <a:ext uri="{FF2B5EF4-FFF2-40B4-BE49-F238E27FC236}">
              <a16:creationId xmlns:a16="http://schemas.microsoft.com/office/drawing/2014/main" id="{1B8D03D6-7E2B-45B8-B980-FAF8769AC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211667</xdr:colOff>
      <xdr:row>10</xdr:row>
      <xdr:rowOff>169334</xdr:rowOff>
    </xdr:from>
    <xdr:to>
      <xdr:col>10</xdr:col>
      <xdr:colOff>243417</xdr:colOff>
      <xdr:row>21</xdr:row>
      <xdr:rowOff>95250</xdr:rowOff>
    </xdr:to>
    <xdr:graphicFrame macro="">
      <xdr:nvGraphicFramePr>
        <xdr:cNvPr id="21" name="Chart 20">
          <a:extLst>
            <a:ext uri="{FF2B5EF4-FFF2-40B4-BE49-F238E27FC236}">
              <a16:creationId xmlns:a16="http://schemas.microsoft.com/office/drawing/2014/main" id="{FAE41453-4C0B-41B0-B164-4BB31BAF5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137584</xdr:colOff>
      <xdr:row>22</xdr:row>
      <xdr:rowOff>63499</xdr:rowOff>
    </xdr:from>
    <xdr:to>
      <xdr:col>5</xdr:col>
      <xdr:colOff>1</xdr:colOff>
      <xdr:row>35</xdr:row>
      <xdr:rowOff>10583</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0C5F90A8-5832-4645-AEC0-B2CC197BE3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7584" y="4254499"/>
              <a:ext cx="2910417" cy="24235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444501</xdr:colOff>
      <xdr:row>11</xdr:row>
      <xdr:rowOff>0</xdr:rowOff>
    </xdr:from>
    <xdr:to>
      <xdr:col>15</xdr:col>
      <xdr:colOff>296334</xdr:colOff>
      <xdr:row>21</xdr:row>
      <xdr:rowOff>95250</xdr:rowOff>
    </xdr:to>
    <xdr:graphicFrame macro="">
      <xdr:nvGraphicFramePr>
        <xdr:cNvPr id="18" name="Chart 17">
          <a:extLst>
            <a:ext uri="{FF2B5EF4-FFF2-40B4-BE49-F238E27FC236}">
              <a16:creationId xmlns:a16="http://schemas.microsoft.com/office/drawing/2014/main" id="{2C0BB5DB-E8F1-4DDB-8064-D92FD485E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169334</xdr:colOff>
      <xdr:row>22</xdr:row>
      <xdr:rowOff>74084</xdr:rowOff>
    </xdr:from>
    <xdr:to>
      <xdr:col>10</xdr:col>
      <xdr:colOff>264584</xdr:colOff>
      <xdr:row>35</xdr:row>
      <xdr:rowOff>0</xdr:rowOff>
    </xdr:to>
    <xdr:graphicFrame macro="">
      <xdr:nvGraphicFramePr>
        <xdr:cNvPr id="19" name="Chart 18">
          <a:extLst>
            <a:ext uri="{FF2B5EF4-FFF2-40B4-BE49-F238E27FC236}">
              <a16:creationId xmlns:a16="http://schemas.microsoft.com/office/drawing/2014/main" id="{64E39119-3A49-4B10-89A0-D5006921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592667</xdr:colOff>
      <xdr:row>1</xdr:row>
      <xdr:rowOff>95252</xdr:rowOff>
    </xdr:from>
    <xdr:to>
      <xdr:col>2</xdr:col>
      <xdr:colOff>582083</xdr:colOff>
      <xdr:row>4</xdr:row>
      <xdr:rowOff>127002</xdr:rowOff>
    </xdr:to>
    <xdr:pic>
      <xdr:nvPicPr>
        <xdr:cNvPr id="24" name="Picture 23">
          <a:extLst>
            <a:ext uri="{FF2B5EF4-FFF2-40B4-BE49-F238E27FC236}">
              <a16:creationId xmlns:a16="http://schemas.microsoft.com/office/drawing/2014/main" id="{44D184DA-9493-B829-432B-FFC1654AE8B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06500" y="285752"/>
          <a:ext cx="603250" cy="603250"/>
        </a:xfrm>
        <a:prstGeom prst="rect">
          <a:avLst/>
        </a:prstGeom>
      </xdr:spPr>
    </xdr:pic>
    <xdr:clientData/>
  </xdr:twoCellAnchor>
  <xdr:twoCellAnchor editAs="oneCell">
    <xdr:from>
      <xdr:col>0</xdr:col>
      <xdr:colOff>497416</xdr:colOff>
      <xdr:row>7</xdr:row>
      <xdr:rowOff>126999</xdr:rowOff>
    </xdr:from>
    <xdr:to>
      <xdr:col>1</xdr:col>
      <xdr:colOff>455082</xdr:colOff>
      <xdr:row>10</xdr:row>
      <xdr:rowOff>126998</xdr:rowOff>
    </xdr:to>
    <xdr:pic>
      <xdr:nvPicPr>
        <xdr:cNvPr id="28" name="Graphic 27" descr="Users with solid fill">
          <a:extLst>
            <a:ext uri="{FF2B5EF4-FFF2-40B4-BE49-F238E27FC236}">
              <a16:creationId xmlns:a16="http://schemas.microsoft.com/office/drawing/2014/main" id="{A29257CD-6EF3-4D09-4151-9B901F164F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7416" y="1460499"/>
          <a:ext cx="571499" cy="571499"/>
        </a:xfrm>
        <a:prstGeom prst="rect">
          <a:avLst/>
        </a:prstGeom>
      </xdr:spPr>
    </xdr:pic>
    <xdr:clientData/>
  </xdr:twoCellAnchor>
  <xdr:twoCellAnchor editAs="oneCell">
    <xdr:from>
      <xdr:col>3</xdr:col>
      <xdr:colOff>391583</xdr:colOff>
      <xdr:row>7</xdr:row>
      <xdr:rowOff>127000</xdr:rowOff>
    </xdr:from>
    <xdr:to>
      <xdr:col>4</xdr:col>
      <xdr:colOff>296333</xdr:colOff>
      <xdr:row>10</xdr:row>
      <xdr:rowOff>74083</xdr:rowOff>
    </xdr:to>
    <xdr:pic>
      <xdr:nvPicPr>
        <xdr:cNvPr id="30" name="Graphic 29" descr="Flip calendar with solid fill">
          <a:extLst>
            <a:ext uri="{FF2B5EF4-FFF2-40B4-BE49-F238E27FC236}">
              <a16:creationId xmlns:a16="http://schemas.microsoft.com/office/drawing/2014/main" id="{DA44FACB-7318-3474-D836-D3D6351778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33083" y="1460500"/>
          <a:ext cx="518583" cy="518583"/>
        </a:xfrm>
        <a:prstGeom prst="rect">
          <a:avLst/>
        </a:prstGeom>
      </xdr:spPr>
    </xdr:pic>
    <xdr:clientData/>
  </xdr:twoCellAnchor>
  <xdr:twoCellAnchor editAs="oneCell">
    <xdr:from>
      <xdr:col>6</xdr:col>
      <xdr:colOff>222250</xdr:colOff>
      <xdr:row>8</xdr:row>
      <xdr:rowOff>74081</xdr:rowOff>
    </xdr:from>
    <xdr:to>
      <xdr:col>6</xdr:col>
      <xdr:colOff>571502</xdr:colOff>
      <xdr:row>10</xdr:row>
      <xdr:rowOff>42333</xdr:rowOff>
    </xdr:to>
    <xdr:pic>
      <xdr:nvPicPr>
        <xdr:cNvPr id="32" name="Graphic 31" descr="Money outline">
          <a:extLst>
            <a:ext uri="{FF2B5EF4-FFF2-40B4-BE49-F238E27FC236}">
              <a16:creationId xmlns:a16="http://schemas.microsoft.com/office/drawing/2014/main" id="{8AECB7F8-56D5-3C62-9172-B2C8E09D6A7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905250" y="1598081"/>
          <a:ext cx="349252" cy="349252"/>
        </a:xfrm>
        <a:prstGeom prst="rect">
          <a:avLst/>
        </a:prstGeom>
      </xdr:spPr>
    </xdr:pic>
    <xdr:clientData/>
  </xdr:twoCellAnchor>
  <xdr:twoCellAnchor editAs="oneCell">
    <xdr:from>
      <xdr:col>10</xdr:col>
      <xdr:colOff>21167</xdr:colOff>
      <xdr:row>7</xdr:row>
      <xdr:rowOff>169333</xdr:rowOff>
    </xdr:from>
    <xdr:to>
      <xdr:col>10</xdr:col>
      <xdr:colOff>476251</xdr:colOff>
      <xdr:row>10</xdr:row>
      <xdr:rowOff>52917</xdr:rowOff>
    </xdr:to>
    <xdr:pic>
      <xdr:nvPicPr>
        <xdr:cNvPr id="34" name="Graphic 33" descr="Stopwatch outline">
          <a:extLst>
            <a:ext uri="{FF2B5EF4-FFF2-40B4-BE49-F238E27FC236}">
              <a16:creationId xmlns:a16="http://schemas.microsoft.com/office/drawing/2014/main" id="{1BB6A435-29E5-F2EE-7A97-2704F1C5C5B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59500" y="1502833"/>
          <a:ext cx="455084" cy="455084"/>
        </a:xfrm>
        <a:prstGeom prst="rect">
          <a:avLst/>
        </a:prstGeom>
      </xdr:spPr>
    </xdr:pic>
    <xdr:clientData/>
  </xdr:twoCellAnchor>
  <xdr:twoCellAnchor editAs="oneCell">
    <xdr:from>
      <xdr:col>13</xdr:col>
      <xdr:colOff>74083</xdr:colOff>
      <xdr:row>8</xdr:row>
      <xdr:rowOff>31749</xdr:rowOff>
    </xdr:from>
    <xdr:to>
      <xdr:col>13</xdr:col>
      <xdr:colOff>497416</xdr:colOff>
      <xdr:row>10</xdr:row>
      <xdr:rowOff>74082</xdr:rowOff>
    </xdr:to>
    <xdr:pic>
      <xdr:nvPicPr>
        <xdr:cNvPr id="36" name="Graphic 35" descr="Medical with solid fill">
          <a:extLst>
            <a:ext uri="{FF2B5EF4-FFF2-40B4-BE49-F238E27FC236}">
              <a16:creationId xmlns:a16="http://schemas.microsoft.com/office/drawing/2014/main" id="{A5E32BE7-02D7-605F-DD28-837D76A9CD1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053916" y="1555749"/>
          <a:ext cx="423333" cy="423333"/>
        </a:xfrm>
        <a:prstGeom prst="rect">
          <a:avLst/>
        </a:prstGeom>
      </xdr:spPr>
    </xdr:pic>
    <xdr:clientData/>
  </xdr:twoCellAnchor>
  <xdr:twoCellAnchor>
    <xdr:from>
      <xdr:col>10</xdr:col>
      <xdr:colOff>513290</xdr:colOff>
      <xdr:row>22</xdr:row>
      <xdr:rowOff>84667</xdr:rowOff>
    </xdr:from>
    <xdr:to>
      <xdr:col>15</xdr:col>
      <xdr:colOff>338667</xdr:colOff>
      <xdr:row>35</xdr:row>
      <xdr:rowOff>21167</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3554B436-9E4C-41EC-8758-B0E5DD89FD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6609290" y="4275667"/>
              <a:ext cx="2873377" cy="2413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35.887425000001" createdVersion="8" refreshedVersion="8" minRefreshableVersion="3" recordCount="200" xr:uid="{3D5CF207-0E15-4BD5-A695-E8D0C8199FE3}">
  <cacheSource type="worksheet">
    <worksheetSource name="PatientData"/>
  </cacheSource>
  <cacheFields count="11">
    <cacheField name="Patient ID" numFmtId="0">
      <sharedItems count="2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ount="81">
        <n v="12"/>
        <n v="52"/>
        <n v="79"/>
        <n v="23"/>
        <n v="7"/>
        <n v="78"/>
        <n v="30"/>
        <n v="68"/>
        <n v="41"/>
        <n v="56"/>
        <n v="24"/>
        <n v="62"/>
        <n v="65"/>
        <n v="13"/>
        <n v="39"/>
        <n v="85"/>
        <n v="25"/>
        <n v="1"/>
        <n v="3"/>
        <n v="31"/>
        <n v="66"/>
        <n v="75"/>
        <n v="35"/>
        <n v="34"/>
        <n v="86"/>
        <n v="51"/>
        <n v="58"/>
        <n v="15"/>
        <n v="5"/>
        <n v="14"/>
        <n v="22"/>
        <n v="19"/>
        <n v="37"/>
        <n v="60"/>
        <n v="21"/>
        <n v="87"/>
        <n v="11"/>
        <n v="80"/>
        <n v="73"/>
        <n v="6"/>
        <n v="4"/>
        <n v="40"/>
        <n v="8"/>
        <n v="17"/>
        <n v="49"/>
        <n v="71"/>
        <n v="63"/>
        <n v="46"/>
        <n v="89"/>
        <n v="48"/>
        <n v="59"/>
        <n v="54"/>
        <n v="33"/>
        <n v="70"/>
        <n v="64"/>
        <n v="42"/>
        <n v="47"/>
        <n v="81"/>
        <n v="20"/>
        <n v="45"/>
        <n v="88"/>
        <n v="83"/>
        <n v="53"/>
        <n v="50"/>
        <n v="38"/>
        <n v="27"/>
        <n v="10"/>
        <n v="57"/>
        <n v="26"/>
        <n v="61"/>
        <n v="16"/>
        <n v="28"/>
        <n v="2"/>
        <n v="74"/>
        <n v="72"/>
        <n v="36"/>
        <n v="67"/>
        <n v="69"/>
        <n v="82"/>
        <n v="77"/>
        <n v="90"/>
      </sharedItems>
      <fieldGroup base="5">
        <rangePr startNum="1" endNum="90" groupInterval="10"/>
        <groupItems count="11">
          <s v="&lt;1"/>
          <s v="1-10"/>
          <s v="11-20"/>
          <s v="21-30"/>
          <s v="31-40"/>
          <s v="41-50"/>
          <s v="51-60"/>
          <s v="61-70"/>
          <s v="71-80"/>
          <s v="81-90"/>
          <s v="&gt;91"/>
        </groupItems>
      </fieldGroup>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Level" numFmtId="0">
      <sharedItems count="2">
        <s v="Low Cost"/>
        <s v="High Cost"/>
      </sharedItems>
    </cacheField>
    <cacheField name="Age Group" numFmtId="0">
      <sharedItems count="8">
        <s v="Child"/>
        <s v="Middle-Age"/>
        <s v="Elderly"/>
        <s v="Young Adult"/>
        <s v="Adult"/>
        <s v="Senior"/>
        <s v="Teenager"/>
        <s v="Infant"/>
      </sharedItems>
    </cacheField>
  </cacheFields>
  <extLst>
    <ext xmlns:x14="http://schemas.microsoft.com/office/spreadsheetml/2009/9/main" uri="{725AE2AE-9491-48be-B2B4-4EB974FC3084}">
      <x14:pivotCacheDefinition pivotCacheId="1498658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68632.97"/>
    <n v="21"/>
    <n v="82"/>
    <x v="0"/>
    <x v="0"/>
  </r>
  <r>
    <x v="1"/>
    <x v="1"/>
    <x v="1"/>
    <x v="1"/>
    <x v="1"/>
    <x v="1"/>
    <n v="10231.42"/>
    <n v="20"/>
    <n v="42"/>
    <x v="0"/>
    <x v="1"/>
  </r>
  <r>
    <x v="2"/>
    <x v="1"/>
    <x v="0"/>
    <x v="0"/>
    <x v="1"/>
    <x v="2"/>
    <n v="10160.24"/>
    <n v="2"/>
    <n v="72"/>
    <x v="0"/>
    <x v="2"/>
  </r>
  <r>
    <x v="3"/>
    <x v="1"/>
    <x v="0"/>
    <x v="0"/>
    <x v="0"/>
    <x v="3"/>
    <n v="103508.96"/>
    <n v="20"/>
    <n v="50"/>
    <x v="1"/>
    <x v="3"/>
  </r>
  <r>
    <x v="4"/>
    <x v="2"/>
    <x v="1"/>
    <x v="2"/>
    <x v="0"/>
    <x v="4"/>
    <n v="143427.51999999999"/>
    <n v="6"/>
    <n v="43"/>
    <x v="1"/>
    <x v="0"/>
  </r>
  <r>
    <x v="5"/>
    <x v="3"/>
    <x v="1"/>
    <x v="3"/>
    <x v="0"/>
    <x v="5"/>
    <n v="146252.19"/>
    <n v="9"/>
    <n v="41"/>
    <x v="1"/>
    <x v="2"/>
  </r>
  <r>
    <x v="6"/>
    <x v="3"/>
    <x v="2"/>
    <x v="1"/>
    <x v="2"/>
    <x v="6"/>
    <n v="54393.48"/>
    <n v="1"/>
    <n v="42"/>
    <x v="0"/>
    <x v="4"/>
  </r>
  <r>
    <x v="7"/>
    <x v="4"/>
    <x v="2"/>
    <x v="4"/>
    <x v="2"/>
    <x v="7"/>
    <n v="30452.22"/>
    <n v="6"/>
    <n v="77"/>
    <x v="0"/>
    <x v="5"/>
  </r>
  <r>
    <x v="8"/>
    <x v="0"/>
    <x v="2"/>
    <x v="0"/>
    <x v="2"/>
    <x v="8"/>
    <n v="79517.25"/>
    <n v="9"/>
    <n v="62"/>
    <x v="1"/>
    <x v="4"/>
  </r>
  <r>
    <x v="9"/>
    <x v="1"/>
    <x v="1"/>
    <x v="2"/>
    <x v="2"/>
    <x v="9"/>
    <n v="116558.38"/>
    <n v="24"/>
    <n v="48"/>
    <x v="1"/>
    <x v="1"/>
  </r>
  <r>
    <x v="10"/>
    <x v="5"/>
    <x v="1"/>
    <x v="2"/>
    <x v="0"/>
    <x v="10"/>
    <n v="135883.74"/>
    <n v="15"/>
    <n v="54"/>
    <x v="1"/>
    <x v="3"/>
  </r>
  <r>
    <x v="11"/>
    <x v="1"/>
    <x v="2"/>
    <x v="1"/>
    <x v="0"/>
    <x v="11"/>
    <n v="148179.98000000001"/>
    <n v="11"/>
    <n v="87"/>
    <x v="1"/>
    <x v="5"/>
  </r>
  <r>
    <x v="12"/>
    <x v="3"/>
    <x v="2"/>
    <x v="4"/>
    <x v="0"/>
    <x v="12"/>
    <n v="20591.650000000001"/>
    <n v="28"/>
    <n v="52"/>
    <x v="0"/>
    <x v="5"/>
  </r>
  <r>
    <x v="13"/>
    <x v="0"/>
    <x v="2"/>
    <x v="0"/>
    <x v="0"/>
    <x v="13"/>
    <n v="59149.07"/>
    <n v="19"/>
    <n v="86"/>
    <x v="0"/>
    <x v="6"/>
  </r>
  <r>
    <x v="14"/>
    <x v="0"/>
    <x v="3"/>
    <x v="3"/>
    <x v="1"/>
    <x v="14"/>
    <n v="59335.72"/>
    <n v="28"/>
    <n v="80"/>
    <x v="0"/>
    <x v="4"/>
  </r>
  <r>
    <x v="15"/>
    <x v="2"/>
    <x v="1"/>
    <x v="0"/>
    <x v="1"/>
    <x v="15"/>
    <n v="101936.34"/>
    <n v="27"/>
    <n v="99"/>
    <x v="1"/>
    <x v="2"/>
  </r>
  <r>
    <x v="16"/>
    <x v="2"/>
    <x v="3"/>
    <x v="0"/>
    <x v="1"/>
    <x v="1"/>
    <n v="107481.12"/>
    <n v="8"/>
    <n v="93"/>
    <x v="1"/>
    <x v="1"/>
  </r>
  <r>
    <x v="17"/>
    <x v="5"/>
    <x v="0"/>
    <x v="2"/>
    <x v="1"/>
    <x v="16"/>
    <n v="142574.53"/>
    <n v="30"/>
    <n v="99"/>
    <x v="1"/>
    <x v="3"/>
  </r>
  <r>
    <x v="18"/>
    <x v="1"/>
    <x v="3"/>
    <x v="2"/>
    <x v="1"/>
    <x v="17"/>
    <n v="43174.44"/>
    <n v="24"/>
    <n v="100"/>
    <x v="0"/>
    <x v="7"/>
  </r>
  <r>
    <x v="19"/>
    <x v="4"/>
    <x v="1"/>
    <x v="0"/>
    <x v="0"/>
    <x v="18"/>
    <n v="125171.58"/>
    <n v="30"/>
    <n v="89"/>
    <x v="1"/>
    <x v="7"/>
  </r>
  <r>
    <x v="20"/>
    <x v="1"/>
    <x v="0"/>
    <x v="3"/>
    <x v="1"/>
    <x v="19"/>
    <n v="51842.34"/>
    <n v="15"/>
    <n v="74"/>
    <x v="0"/>
    <x v="4"/>
  </r>
  <r>
    <x v="21"/>
    <x v="5"/>
    <x v="0"/>
    <x v="3"/>
    <x v="1"/>
    <x v="20"/>
    <n v="30547.73"/>
    <n v="11"/>
    <n v="47"/>
    <x v="0"/>
    <x v="5"/>
  </r>
  <r>
    <x v="22"/>
    <x v="2"/>
    <x v="0"/>
    <x v="4"/>
    <x v="1"/>
    <x v="7"/>
    <n v="68961.679999999993"/>
    <n v="5"/>
    <n v="67"/>
    <x v="0"/>
    <x v="5"/>
  </r>
  <r>
    <x v="23"/>
    <x v="5"/>
    <x v="0"/>
    <x v="4"/>
    <x v="2"/>
    <x v="21"/>
    <n v="89887.05"/>
    <n v="28"/>
    <n v="92"/>
    <x v="1"/>
    <x v="2"/>
  </r>
  <r>
    <x v="24"/>
    <x v="1"/>
    <x v="1"/>
    <x v="0"/>
    <x v="1"/>
    <x v="22"/>
    <n v="54350.5"/>
    <n v="24"/>
    <n v="70"/>
    <x v="0"/>
    <x v="4"/>
  </r>
  <r>
    <x v="25"/>
    <x v="4"/>
    <x v="0"/>
    <x v="2"/>
    <x v="1"/>
    <x v="9"/>
    <n v="47635.12"/>
    <n v="3"/>
    <n v="47"/>
    <x v="0"/>
    <x v="1"/>
  </r>
  <r>
    <x v="26"/>
    <x v="2"/>
    <x v="3"/>
    <x v="2"/>
    <x v="2"/>
    <x v="23"/>
    <n v="136077.99"/>
    <n v="25"/>
    <n v="58"/>
    <x v="1"/>
    <x v="4"/>
  </r>
  <r>
    <x v="27"/>
    <x v="3"/>
    <x v="0"/>
    <x v="2"/>
    <x v="1"/>
    <x v="19"/>
    <n v="103276.56"/>
    <n v="30"/>
    <n v="84"/>
    <x v="1"/>
    <x v="4"/>
  </r>
  <r>
    <x v="28"/>
    <x v="0"/>
    <x v="3"/>
    <x v="3"/>
    <x v="1"/>
    <x v="16"/>
    <n v="38676.85"/>
    <n v="9"/>
    <n v="70"/>
    <x v="0"/>
    <x v="3"/>
  </r>
  <r>
    <x v="29"/>
    <x v="0"/>
    <x v="3"/>
    <x v="4"/>
    <x v="2"/>
    <x v="24"/>
    <n v="35788.22"/>
    <n v="3"/>
    <n v="66"/>
    <x v="0"/>
    <x v="2"/>
  </r>
  <r>
    <x v="30"/>
    <x v="5"/>
    <x v="1"/>
    <x v="0"/>
    <x v="1"/>
    <x v="2"/>
    <n v="140415.63"/>
    <n v="16"/>
    <n v="67"/>
    <x v="1"/>
    <x v="2"/>
  </r>
  <r>
    <x v="31"/>
    <x v="2"/>
    <x v="3"/>
    <x v="3"/>
    <x v="1"/>
    <x v="25"/>
    <n v="143365.82999999999"/>
    <n v="1"/>
    <n v="58"/>
    <x v="1"/>
    <x v="1"/>
  </r>
  <r>
    <x v="32"/>
    <x v="0"/>
    <x v="1"/>
    <x v="1"/>
    <x v="1"/>
    <x v="17"/>
    <n v="101058.07"/>
    <n v="4"/>
    <n v="81"/>
    <x v="1"/>
    <x v="7"/>
  </r>
  <r>
    <x v="33"/>
    <x v="2"/>
    <x v="0"/>
    <x v="0"/>
    <x v="2"/>
    <x v="26"/>
    <n v="41426.04"/>
    <n v="6"/>
    <n v="67"/>
    <x v="0"/>
    <x v="1"/>
  </r>
  <r>
    <x v="34"/>
    <x v="2"/>
    <x v="2"/>
    <x v="1"/>
    <x v="0"/>
    <x v="27"/>
    <n v="131454.59"/>
    <n v="30"/>
    <n v="83"/>
    <x v="1"/>
    <x v="6"/>
  </r>
  <r>
    <x v="35"/>
    <x v="0"/>
    <x v="1"/>
    <x v="4"/>
    <x v="0"/>
    <x v="28"/>
    <n v="48581.36"/>
    <n v="16"/>
    <n v="40"/>
    <x v="0"/>
    <x v="7"/>
  </r>
  <r>
    <x v="36"/>
    <x v="1"/>
    <x v="0"/>
    <x v="1"/>
    <x v="0"/>
    <x v="8"/>
    <n v="143381.07"/>
    <n v="1"/>
    <n v="87"/>
    <x v="1"/>
    <x v="4"/>
  </r>
  <r>
    <x v="37"/>
    <x v="1"/>
    <x v="0"/>
    <x v="1"/>
    <x v="1"/>
    <x v="18"/>
    <n v="50045.440000000002"/>
    <n v="15"/>
    <n v="84"/>
    <x v="0"/>
    <x v="7"/>
  </r>
  <r>
    <x v="38"/>
    <x v="2"/>
    <x v="0"/>
    <x v="1"/>
    <x v="2"/>
    <x v="26"/>
    <n v="86479.95"/>
    <n v="1"/>
    <n v="75"/>
    <x v="1"/>
    <x v="1"/>
  </r>
  <r>
    <x v="39"/>
    <x v="1"/>
    <x v="3"/>
    <x v="2"/>
    <x v="1"/>
    <x v="29"/>
    <n v="9067.3799999999992"/>
    <n v="28"/>
    <n v="86"/>
    <x v="0"/>
    <x v="6"/>
  </r>
  <r>
    <x v="40"/>
    <x v="1"/>
    <x v="2"/>
    <x v="2"/>
    <x v="1"/>
    <x v="19"/>
    <n v="113414.83"/>
    <n v="8"/>
    <n v="70"/>
    <x v="1"/>
    <x v="4"/>
  </r>
  <r>
    <x v="41"/>
    <x v="4"/>
    <x v="1"/>
    <x v="0"/>
    <x v="1"/>
    <x v="15"/>
    <n v="78946.19"/>
    <n v="3"/>
    <n v="48"/>
    <x v="1"/>
    <x v="2"/>
  </r>
  <r>
    <x v="42"/>
    <x v="0"/>
    <x v="0"/>
    <x v="3"/>
    <x v="1"/>
    <x v="30"/>
    <n v="100035.91"/>
    <n v="29"/>
    <n v="70"/>
    <x v="1"/>
    <x v="3"/>
  </r>
  <r>
    <x v="43"/>
    <x v="1"/>
    <x v="2"/>
    <x v="2"/>
    <x v="1"/>
    <x v="11"/>
    <n v="149340.16"/>
    <n v="18"/>
    <n v="49"/>
    <x v="1"/>
    <x v="5"/>
  </r>
  <r>
    <x v="44"/>
    <x v="0"/>
    <x v="0"/>
    <x v="0"/>
    <x v="0"/>
    <x v="2"/>
    <n v="105328.19"/>
    <n v="26"/>
    <n v="94"/>
    <x v="1"/>
    <x v="2"/>
  </r>
  <r>
    <x v="45"/>
    <x v="0"/>
    <x v="2"/>
    <x v="0"/>
    <x v="2"/>
    <x v="31"/>
    <n v="21826.12"/>
    <n v="17"/>
    <n v="48"/>
    <x v="0"/>
    <x v="6"/>
  </r>
  <r>
    <x v="46"/>
    <x v="5"/>
    <x v="0"/>
    <x v="4"/>
    <x v="1"/>
    <x v="32"/>
    <n v="77556.53"/>
    <n v="24"/>
    <n v="87"/>
    <x v="1"/>
    <x v="4"/>
  </r>
  <r>
    <x v="47"/>
    <x v="5"/>
    <x v="2"/>
    <x v="3"/>
    <x v="1"/>
    <x v="6"/>
    <n v="53806.86"/>
    <n v="21"/>
    <n v="82"/>
    <x v="0"/>
    <x v="4"/>
  </r>
  <r>
    <x v="48"/>
    <x v="1"/>
    <x v="3"/>
    <x v="0"/>
    <x v="1"/>
    <x v="20"/>
    <n v="84096.91"/>
    <n v="18"/>
    <n v="91"/>
    <x v="1"/>
    <x v="5"/>
  </r>
  <r>
    <x v="49"/>
    <x v="0"/>
    <x v="2"/>
    <x v="0"/>
    <x v="1"/>
    <x v="30"/>
    <n v="46384.67"/>
    <n v="3"/>
    <n v="84"/>
    <x v="0"/>
    <x v="3"/>
  </r>
  <r>
    <x v="50"/>
    <x v="0"/>
    <x v="2"/>
    <x v="1"/>
    <x v="1"/>
    <x v="33"/>
    <n v="122442.43"/>
    <n v="6"/>
    <n v="94"/>
    <x v="1"/>
    <x v="5"/>
  </r>
  <r>
    <x v="51"/>
    <x v="4"/>
    <x v="1"/>
    <x v="0"/>
    <x v="2"/>
    <x v="22"/>
    <n v="73863.679999999993"/>
    <n v="17"/>
    <n v="42"/>
    <x v="0"/>
    <x v="4"/>
  </r>
  <r>
    <x v="52"/>
    <x v="2"/>
    <x v="0"/>
    <x v="2"/>
    <x v="0"/>
    <x v="34"/>
    <n v="75334.19"/>
    <n v="23"/>
    <n v="51"/>
    <x v="1"/>
    <x v="3"/>
  </r>
  <r>
    <x v="53"/>
    <x v="4"/>
    <x v="2"/>
    <x v="1"/>
    <x v="2"/>
    <x v="25"/>
    <n v="59829.99"/>
    <n v="2"/>
    <n v="40"/>
    <x v="0"/>
    <x v="1"/>
  </r>
  <r>
    <x v="54"/>
    <x v="4"/>
    <x v="2"/>
    <x v="4"/>
    <x v="0"/>
    <x v="35"/>
    <n v="5444.8"/>
    <n v="5"/>
    <n v="42"/>
    <x v="0"/>
    <x v="2"/>
  </r>
  <r>
    <x v="55"/>
    <x v="3"/>
    <x v="0"/>
    <x v="1"/>
    <x v="1"/>
    <x v="36"/>
    <n v="39022.85"/>
    <n v="8"/>
    <n v="96"/>
    <x v="0"/>
    <x v="0"/>
  </r>
  <r>
    <x v="56"/>
    <x v="1"/>
    <x v="0"/>
    <x v="0"/>
    <x v="1"/>
    <x v="4"/>
    <n v="127110.45"/>
    <n v="30"/>
    <n v="100"/>
    <x v="1"/>
    <x v="0"/>
  </r>
  <r>
    <x v="57"/>
    <x v="3"/>
    <x v="1"/>
    <x v="1"/>
    <x v="2"/>
    <x v="37"/>
    <n v="120082.46"/>
    <n v="16"/>
    <n v="93"/>
    <x v="1"/>
    <x v="2"/>
  </r>
  <r>
    <x v="58"/>
    <x v="1"/>
    <x v="2"/>
    <x v="1"/>
    <x v="1"/>
    <x v="21"/>
    <n v="79671.37"/>
    <n v="30"/>
    <n v="43"/>
    <x v="1"/>
    <x v="2"/>
  </r>
  <r>
    <x v="59"/>
    <x v="0"/>
    <x v="3"/>
    <x v="0"/>
    <x v="1"/>
    <x v="4"/>
    <n v="66277.52"/>
    <n v="26"/>
    <n v="69"/>
    <x v="0"/>
    <x v="0"/>
  </r>
  <r>
    <x v="60"/>
    <x v="2"/>
    <x v="0"/>
    <x v="4"/>
    <x v="0"/>
    <x v="29"/>
    <n v="12241.3"/>
    <n v="20"/>
    <n v="40"/>
    <x v="0"/>
    <x v="6"/>
  </r>
  <r>
    <x v="61"/>
    <x v="5"/>
    <x v="2"/>
    <x v="1"/>
    <x v="1"/>
    <x v="30"/>
    <n v="133882.43"/>
    <n v="29"/>
    <n v="63"/>
    <x v="1"/>
    <x v="3"/>
  </r>
  <r>
    <x v="62"/>
    <x v="3"/>
    <x v="3"/>
    <x v="0"/>
    <x v="2"/>
    <x v="38"/>
    <n v="148488.95000000001"/>
    <n v="22"/>
    <n v="77"/>
    <x v="1"/>
    <x v="5"/>
  </r>
  <r>
    <x v="63"/>
    <x v="4"/>
    <x v="1"/>
    <x v="0"/>
    <x v="2"/>
    <x v="28"/>
    <n v="74239.37"/>
    <n v="7"/>
    <n v="61"/>
    <x v="0"/>
    <x v="7"/>
  </r>
  <r>
    <x v="64"/>
    <x v="2"/>
    <x v="1"/>
    <x v="4"/>
    <x v="1"/>
    <x v="39"/>
    <n v="98732.94"/>
    <n v="25"/>
    <n v="45"/>
    <x v="1"/>
    <x v="0"/>
  </r>
  <r>
    <x v="65"/>
    <x v="0"/>
    <x v="0"/>
    <x v="2"/>
    <x v="0"/>
    <x v="40"/>
    <n v="66339.33"/>
    <n v="5"/>
    <n v="77"/>
    <x v="0"/>
    <x v="7"/>
  </r>
  <r>
    <x v="66"/>
    <x v="0"/>
    <x v="1"/>
    <x v="4"/>
    <x v="1"/>
    <x v="29"/>
    <n v="113363.27"/>
    <n v="9"/>
    <n v="74"/>
    <x v="1"/>
    <x v="6"/>
  </r>
  <r>
    <x v="67"/>
    <x v="0"/>
    <x v="1"/>
    <x v="4"/>
    <x v="0"/>
    <x v="36"/>
    <n v="24492.09"/>
    <n v="8"/>
    <n v="58"/>
    <x v="0"/>
    <x v="0"/>
  </r>
  <r>
    <x v="68"/>
    <x v="3"/>
    <x v="1"/>
    <x v="4"/>
    <x v="0"/>
    <x v="31"/>
    <n v="42080.85"/>
    <n v="29"/>
    <n v="65"/>
    <x v="0"/>
    <x v="6"/>
  </r>
  <r>
    <x v="69"/>
    <x v="4"/>
    <x v="1"/>
    <x v="2"/>
    <x v="2"/>
    <x v="9"/>
    <n v="147658.16"/>
    <n v="11"/>
    <n v="96"/>
    <x v="1"/>
    <x v="1"/>
  </r>
  <r>
    <x v="70"/>
    <x v="2"/>
    <x v="1"/>
    <x v="0"/>
    <x v="0"/>
    <x v="41"/>
    <n v="79386.600000000006"/>
    <n v="21"/>
    <n v="67"/>
    <x v="1"/>
    <x v="4"/>
  </r>
  <r>
    <x v="71"/>
    <x v="5"/>
    <x v="3"/>
    <x v="1"/>
    <x v="1"/>
    <x v="39"/>
    <n v="22175.37"/>
    <n v="17"/>
    <n v="82"/>
    <x v="0"/>
    <x v="0"/>
  </r>
  <r>
    <x v="72"/>
    <x v="4"/>
    <x v="2"/>
    <x v="0"/>
    <x v="2"/>
    <x v="11"/>
    <n v="16296.15"/>
    <n v="28"/>
    <n v="63"/>
    <x v="0"/>
    <x v="5"/>
  </r>
  <r>
    <x v="73"/>
    <x v="4"/>
    <x v="3"/>
    <x v="0"/>
    <x v="2"/>
    <x v="9"/>
    <n v="120488.57"/>
    <n v="30"/>
    <n v="48"/>
    <x v="1"/>
    <x v="1"/>
  </r>
  <r>
    <x v="74"/>
    <x v="2"/>
    <x v="2"/>
    <x v="0"/>
    <x v="0"/>
    <x v="42"/>
    <n v="111873.66"/>
    <n v="16"/>
    <n v="74"/>
    <x v="1"/>
    <x v="0"/>
  </r>
  <r>
    <x v="75"/>
    <x v="2"/>
    <x v="1"/>
    <x v="2"/>
    <x v="1"/>
    <x v="11"/>
    <n v="27610.65"/>
    <n v="26"/>
    <n v="72"/>
    <x v="0"/>
    <x v="5"/>
  </r>
  <r>
    <x v="76"/>
    <x v="2"/>
    <x v="3"/>
    <x v="4"/>
    <x v="2"/>
    <x v="43"/>
    <n v="142458.98000000001"/>
    <n v="6"/>
    <n v="69"/>
    <x v="1"/>
    <x v="6"/>
  </r>
  <r>
    <x v="77"/>
    <x v="2"/>
    <x v="0"/>
    <x v="2"/>
    <x v="2"/>
    <x v="4"/>
    <n v="23799.83"/>
    <n v="26"/>
    <n v="52"/>
    <x v="0"/>
    <x v="0"/>
  </r>
  <r>
    <x v="78"/>
    <x v="5"/>
    <x v="3"/>
    <x v="0"/>
    <x v="2"/>
    <x v="44"/>
    <n v="117019.47"/>
    <n v="28"/>
    <n v="63"/>
    <x v="1"/>
    <x v="1"/>
  </r>
  <r>
    <x v="79"/>
    <x v="5"/>
    <x v="0"/>
    <x v="4"/>
    <x v="2"/>
    <x v="0"/>
    <n v="69472.05"/>
    <n v="11"/>
    <n v="68"/>
    <x v="0"/>
    <x v="0"/>
  </r>
  <r>
    <x v="80"/>
    <x v="3"/>
    <x v="0"/>
    <x v="4"/>
    <x v="0"/>
    <x v="28"/>
    <n v="64103.040000000001"/>
    <n v="14"/>
    <n v="42"/>
    <x v="0"/>
    <x v="7"/>
  </r>
  <r>
    <x v="81"/>
    <x v="2"/>
    <x v="0"/>
    <x v="0"/>
    <x v="2"/>
    <x v="13"/>
    <n v="137441.75"/>
    <n v="23"/>
    <n v="74"/>
    <x v="1"/>
    <x v="6"/>
  </r>
  <r>
    <x v="82"/>
    <x v="3"/>
    <x v="0"/>
    <x v="2"/>
    <x v="0"/>
    <x v="45"/>
    <n v="11066.61"/>
    <n v="17"/>
    <n v="86"/>
    <x v="0"/>
    <x v="5"/>
  </r>
  <r>
    <x v="83"/>
    <x v="4"/>
    <x v="1"/>
    <x v="3"/>
    <x v="0"/>
    <x v="35"/>
    <n v="36726.76"/>
    <n v="4"/>
    <n v="53"/>
    <x v="0"/>
    <x v="2"/>
  </r>
  <r>
    <x v="84"/>
    <x v="1"/>
    <x v="1"/>
    <x v="1"/>
    <x v="2"/>
    <x v="41"/>
    <n v="19717.900000000001"/>
    <n v="20"/>
    <n v="63"/>
    <x v="0"/>
    <x v="4"/>
  </r>
  <r>
    <x v="85"/>
    <x v="5"/>
    <x v="1"/>
    <x v="3"/>
    <x v="2"/>
    <x v="46"/>
    <n v="82657.039999999994"/>
    <n v="4"/>
    <n v="55"/>
    <x v="1"/>
    <x v="5"/>
  </r>
  <r>
    <x v="86"/>
    <x v="1"/>
    <x v="1"/>
    <x v="1"/>
    <x v="2"/>
    <x v="17"/>
    <n v="16874.009999999998"/>
    <n v="14"/>
    <n v="76"/>
    <x v="0"/>
    <x v="7"/>
  </r>
  <r>
    <x v="87"/>
    <x v="1"/>
    <x v="3"/>
    <x v="0"/>
    <x v="1"/>
    <x v="32"/>
    <n v="8578.83"/>
    <n v="2"/>
    <n v="90"/>
    <x v="0"/>
    <x v="4"/>
  </r>
  <r>
    <x v="88"/>
    <x v="5"/>
    <x v="0"/>
    <x v="1"/>
    <x v="1"/>
    <x v="4"/>
    <n v="22311.39"/>
    <n v="14"/>
    <n v="86"/>
    <x v="0"/>
    <x v="0"/>
  </r>
  <r>
    <x v="89"/>
    <x v="3"/>
    <x v="3"/>
    <x v="0"/>
    <x v="2"/>
    <x v="47"/>
    <n v="128560.01"/>
    <n v="7"/>
    <n v="52"/>
    <x v="1"/>
    <x v="1"/>
  </r>
  <r>
    <x v="90"/>
    <x v="4"/>
    <x v="0"/>
    <x v="2"/>
    <x v="2"/>
    <x v="6"/>
    <n v="147742.63"/>
    <n v="28"/>
    <n v="62"/>
    <x v="1"/>
    <x v="4"/>
  </r>
  <r>
    <x v="91"/>
    <x v="1"/>
    <x v="0"/>
    <x v="1"/>
    <x v="2"/>
    <x v="20"/>
    <n v="54562.1"/>
    <n v="21"/>
    <n v="86"/>
    <x v="0"/>
    <x v="5"/>
  </r>
  <r>
    <x v="92"/>
    <x v="5"/>
    <x v="2"/>
    <x v="2"/>
    <x v="2"/>
    <x v="17"/>
    <n v="146289.26999999999"/>
    <n v="17"/>
    <n v="47"/>
    <x v="1"/>
    <x v="7"/>
  </r>
  <r>
    <x v="93"/>
    <x v="4"/>
    <x v="3"/>
    <x v="4"/>
    <x v="2"/>
    <x v="48"/>
    <n v="128840.81"/>
    <n v="22"/>
    <n v="81"/>
    <x v="1"/>
    <x v="2"/>
  </r>
  <r>
    <x v="94"/>
    <x v="2"/>
    <x v="1"/>
    <x v="1"/>
    <x v="2"/>
    <x v="49"/>
    <n v="19629.22"/>
    <n v="2"/>
    <n v="95"/>
    <x v="0"/>
    <x v="1"/>
  </r>
  <r>
    <x v="95"/>
    <x v="4"/>
    <x v="2"/>
    <x v="4"/>
    <x v="0"/>
    <x v="50"/>
    <n v="73629.03"/>
    <n v="10"/>
    <n v="85"/>
    <x v="0"/>
    <x v="1"/>
  </r>
  <r>
    <x v="96"/>
    <x v="3"/>
    <x v="1"/>
    <x v="4"/>
    <x v="2"/>
    <x v="51"/>
    <n v="100747.7"/>
    <n v="12"/>
    <n v="74"/>
    <x v="1"/>
    <x v="1"/>
  </r>
  <r>
    <x v="97"/>
    <x v="1"/>
    <x v="0"/>
    <x v="0"/>
    <x v="2"/>
    <x v="22"/>
    <n v="85523.17"/>
    <n v="30"/>
    <n v="90"/>
    <x v="1"/>
    <x v="4"/>
  </r>
  <r>
    <x v="98"/>
    <x v="4"/>
    <x v="1"/>
    <x v="2"/>
    <x v="2"/>
    <x v="52"/>
    <n v="79151.14"/>
    <n v="2"/>
    <n v="56"/>
    <x v="1"/>
    <x v="4"/>
  </r>
  <r>
    <x v="99"/>
    <x v="5"/>
    <x v="0"/>
    <x v="2"/>
    <x v="0"/>
    <x v="6"/>
    <n v="115395.67"/>
    <n v="11"/>
    <n v="74"/>
    <x v="1"/>
    <x v="4"/>
  </r>
  <r>
    <x v="100"/>
    <x v="2"/>
    <x v="2"/>
    <x v="0"/>
    <x v="0"/>
    <x v="33"/>
    <n v="49131.44"/>
    <n v="2"/>
    <n v="44"/>
    <x v="0"/>
    <x v="5"/>
  </r>
  <r>
    <x v="101"/>
    <x v="4"/>
    <x v="0"/>
    <x v="2"/>
    <x v="2"/>
    <x v="53"/>
    <n v="58132.5"/>
    <n v="25"/>
    <n v="43"/>
    <x v="0"/>
    <x v="5"/>
  </r>
  <r>
    <x v="102"/>
    <x v="5"/>
    <x v="3"/>
    <x v="0"/>
    <x v="0"/>
    <x v="39"/>
    <n v="77311.77"/>
    <n v="19"/>
    <n v="90"/>
    <x v="1"/>
    <x v="0"/>
  </r>
  <r>
    <x v="103"/>
    <x v="3"/>
    <x v="2"/>
    <x v="4"/>
    <x v="2"/>
    <x v="53"/>
    <n v="14270.62"/>
    <n v="24"/>
    <n v="43"/>
    <x v="0"/>
    <x v="5"/>
  </r>
  <r>
    <x v="104"/>
    <x v="1"/>
    <x v="2"/>
    <x v="3"/>
    <x v="0"/>
    <x v="1"/>
    <n v="97685.72"/>
    <n v="28"/>
    <n v="59"/>
    <x v="1"/>
    <x v="1"/>
  </r>
  <r>
    <x v="105"/>
    <x v="0"/>
    <x v="1"/>
    <x v="2"/>
    <x v="1"/>
    <x v="54"/>
    <n v="142687.47"/>
    <n v="27"/>
    <n v="80"/>
    <x v="1"/>
    <x v="5"/>
  </r>
  <r>
    <x v="106"/>
    <x v="4"/>
    <x v="2"/>
    <x v="1"/>
    <x v="2"/>
    <x v="22"/>
    <n v="36754.51"/>
    <n v="27"/>
    <n v="49"/>
    <x v="0"/>
    <x v="4"/>
  </r>
  <r>
    <x v="107"/>
    <x v="1"/>
    <x v="1"/>
    <x v="1"/>
    <x v="2"/>
    <x v="11"/>
    <n v="34938.57"/>
    <n v="8"/>
    <n v="70"/>
    <x v="0"/>
    <x v="5"/>
  </r>
  <r>
    <x v="108"/>
    <x v="2"/>
    <x v="2"/>
    <x v="0"/>
    <x v="0"/>
    <x v="30"/>
    <n v="97228.49"/>
    <n v="7"/>
    <n v="60"/>
    <x v="1"/>
    <x v="3"/>
  </r>
  <r>
    <x v="109"/>
    <x v="3"/>
    <x v="2"/>
    <x v="1"/>
    <x v="0"/>
    <x v="55"/>
    <n v="91441.1"/>
    <n v="22"/>
    <n v="84"/>
    <x v="1"/>
    <x v="4"/>
  </r>
  <r>
    <x v="110"/>
    <x v="0"/>
    <x v="3"/>
    <x v="4"/>
    <x v="0"/>
    <x v="10"/>
    <n v="139624.06"/>
    <n v="5"/>
    <n v="55"/>
    <x v="1"/>
    <x v="3"/>
  </r>
  <r>
    <x v="111"/>
    <x v="3"/>
    <x v="1"/>
    <x v="0"/>
    <x v="2"/>
    <x v="43"/>
    <n v="86650.5"/>
    <n v="3"/>
    <n v="53"/>
    <x v="1"/>
    <x v="6"/>
  </r>
  <r>
    <x v="112"/>
    <x v="4"/>
    <x v="0"/>
    <x v="1"/>
    <x v="1"/>
    <x v="21"/>
    <n v="85517.09"/>
    <n v="6"/>
    <n v="79"/>
    <x v="1"/>
    <x v="2"/>
  </r>
  <r>
    <x v="113"/>
    <x v="0"/>
    <x v="0"/>
    <x v="1"/>
    <x v="0"/>
    <x v="56"/>
    <n v="134120.62"/>
    <n v="11"/>
    <n v="92"/>
    <x v="1"/>
    <x v="1"/>
  </r>
  <r>
    <x v="114"/>
    <x v="2"/>
    <x v="3"/>
    <x v="2"/>
    <x v="2"/>
    <x v="57"/>
    <n v="22593.06"/>
    <n v="6"/>
    <n v="67"/>
    <x v="0"/>
    <x v="2"/>
  </r>
  <r>
    <x v="115"/>
    <x v="0"/>
    <x v="2"/>
    <x v="2"/>
    <x v="1"/>
    <x v="58"/>
    <n v="88741.64"/>
    <n v="26"/>
    <n v="99"/>
    <x v="1"/>
    <x v="3"/>
  </r>
  <r>
    <x v="116"/>
    <x v="0"/>
    <x v="1"/>
    <x v="1"/>
    <x v="1"/>
    <x v="29"/>
    <n v="10917.19"/>
    <n v="22"/>
    <n v="43"/>
    <x v="0"/>
    <x v="6"/>
  </r>
  <r>
    <x v="117"/>
    <x v="0"/>
    <x v="3"/>
    <x v="4"/>
    <x v="0"/>
    <x v="6"/>
    <n v="97613.71"/>
    <n v="24"/>
    <n v="72"/>
    <x v="1"/>
    <x v="4"/>
  </r>
  <r>
    <x v="118"/>
    <x v="5"/>
    <x v="3"/>
    <x v="2"/>
    <x v="0"/>
    <x v="57"/>
    <n v="135711.26999999999"/>
    <n v="14"/>
    <n v="99"/>
    <x v="1"/>
    <x v="2"/>
  </r>
  <r>
    <x v="119"/>
    <x v="1"/>
    <x v="1"/>
    <x v="2"/>
    <x v="0"/>
    <x v="49"/>
    <n v="117464.18"/>
    <n v="2"/>
    <n v="61"/>
    <x v="1"/>
    <x v="1"/>
  </r>
  <r>
    <x v="120"/>
    <x v="2"/>
    <x v="1"/>
    <x v="2"/>
    <x v="2"/>
    <x v="59"/>
    <n v="89474.55"/>
    <n v="21"/>
    <n v="64"/>
    <x v="1"/>
    <x v="1"/>
  </r>
  <r>
    <x v="121"/>
    <x v="0"/>
    <x v="3"/>
    <x v="4"/>
    <x v="2"/>
    <x v="17"/>
    <n v="105954.09"/>
    <n v="12"/>
    <n v="95"/>
    <x v="1"/>
    <x v="7"/>
  </r>
  <r>
    <x v="122"/>
    <x v="1"/>
    <x v="2"/>
    <x v="3"/>
    <x v="0"/>
    <x v="6"/>
    <n v="91267.91"/>
    <n v="17"/>
    <n v="76"/>
    <x v="1"/>
    <x v="4"/>
  </r>
  <r>
    <x v="123"/>
    <x v="5"/>
    <x v="0"/>
    <x v="3"/>
    <x v="0"/>
    <x v="18"/>
    <n v="46506.94"/>
    <n v="9"/>
    <n v="72"/>
    <x v="0"/>
    <x v="7"/>
  </r>
  <r>
    <x v="124"/>
    <x v="4"/>
    <x v="3"/>
    <x v="1"/>
    <x v="0"/>
    <x v="5"/>
    <n v="40568.300000000003"/>
    <n v="18"/>
    <n v="91"/>
    <x v="0"/>
    <x v="2"/>
  </r>
  <r>
    <x v="125"/>
    <x v="2"/>
    <x v="0"/>
    <x v="4"/>
    <x v="1"/>
    <x v="22"/>
    <n v="132265.98000000001"/>
    <n v="7"/>
    <n v="45"/>
    <x v="1"/>
    <x v="4"/>
  </r>
  <r>
    <x v="126"/>
    <x v="1"/>
    <x v="3"/>
    <x v="2"/>
    <x v="1"/>
    <x v="60"/>
    <n v="50993.47"/>
    <n v="4"/>
    <n v="82"/>
    <x v="0"/>
    <x v="2"/>
  </r>
  <r>
    <x v="127"/>
    <x v="2"/>
    <x v="3"/>
    <x v="1"/>
    <x v="1"/>
    <x v="4"/>
    <n v="135590.48000000001"/>
    <n v="6"/>
    <n v="46"/>
    <x v="1"/>
    <x v="0"/>
  </r>
  <r>
    <x v="128"/>
    <x v="1"/>
    <x v="3"/>
    <x v="4"/>
    <x v="0"/>
    <x v="38"/>
    <n v="148956.56"/>
    <n v="6"/>
    <n v="100"/>
    <x v="1"/>
    <x v="5"/>
  </r>
  <r>
    <x v="129"/>
    <x v="3"/>
    <x v="1"/>
    <x v="0"/>
    <x v="1"/>
    <x v="61"/>
    <n v="71584.960000000006"/>
    <n v="26"/>
    <n v="55"/>
    <x v="0"/>
    <x v="2"/>
  </r>
  <r>
    <x v="130"/>
    <x v="2"/>
    <x v="2"/>
    <x v="1"/>
    <x v="2"/>
    <x v="32"/>
    <n v="78613.16"/>
    <n v="20"/>
    <n v="85"/>
    <x v="1"/>
    <x v="4"/>
  </r>
  <r>
    <x v="131"/>
    <x v="2"/>
    <x v="0"/>
    <x v="2"/>
    <x v="1"/>
    <x v="62"/>
    <n v="103548.4"/>
    <n v="27"/>
    <n v="74"/>
    <x v="1"/>
    <x v="1"/>
  </r>
  <r>
    <x v="132"/>
    <x v="4"/>
    <x v="0"/>
    <x v="4"/>
    <x v="2"/>
    <x v="63"/>
    <n v="62134.18"/>
    <n v="13"/>
    <n v="40"/>
    <x v="0"/>
    <x v="1"/>
  </r>
  <r>
    <x v="133"/>
    <x v="5"/>
    <x v="3"/>
    <x v="4"/>
    <x v="1"/>
    <x v="4"/>
    <n v="59235.13"/>
    <n v="12"/>
    <n v="42"/>
    <x v="0"/>
    <x v="0"/>
  </r>
  <r>
    <x v="134"/>
    <x v="0"/>
    <x v="2"/>
    <x v="4"/>
    <x v="1"/>
    <x v="64"/>
    <n v="118022.05"/>
    <n v="17"/>
    <n v="79"/>
    <x v="1"/>
    <x v="4"/>
  </r>
  <r>
    <x v="135"/>
    <x v="3"/>
    <x v="0"/>
    <x v="3"/>
    <x v="0"/>
    <x v="44"/>
    <n v="127750.62"/>
    <n v="18"/>
    <n v="60"/>
    <x v="1"/>
    <x v="1"/>
  </r>
  <r>
    <x v="136"/>
    <x v="1"/>
    <x v="2"/>
    <x v="1"/>
    <x v="2"/>
    <x v="65"/>
    <n v="79666.86"/>
    <n v="16"/>
    <n v="85"/>
    <x v="1"/>
    <x v="3"/>
  </r>
  <r>
    <x v="137"/>
    <x v="2"/>
    <x v="3"/>
    <x v="0"/>
    <x v="0"/>
    <x v="12"/>
    <n v="120956.04"/>
    <n v="25"/>
    <n v="95"/>
    <x v="1"/>
    <x v="5"/>
  </r>
  <r>
    <x v="138"/>
    <x v="0"/>
    <x v="2"/>
    <x v="3"/>
    <x v="1"/>
    <x v="26"/>
    <n v="100338.81"/>
    <n v="7"/>
    <n v="59"/>
    <x v="1"/>
    <x v="1"/>
  </r>
  <r>
    <x v="139"/>
    <x v="4"/>
    <x v="2"/>
    <x v="0"/>
    <x v="0"/>
    <x v="30"/>
    <n v="120621.62"/>
    <n v="21"/>
    <n v="74"/>
    <x v="1"/>
    <x v="3"/>
  </r>
  <r>
    <x v="140"/>
    <x v="0"/>
    <x v="2"/>
    <x v="2"/>
    <x v="1"/>
    <x v="66"/>
    <n v="21143.75"/>
    <n v="2"/>
    <n v="42"/>
    <x v="0"/>
    <x v="0"/>
  </r>
  <r>
    <x v="141"/>
    <x v="4"/>
    <x v="2"/>
    <x v="4"/>
    <x v="2"/>
    <x v="32"/>
    <n v="58168.06"/>
    <n v="3"/>
    <n v="84"/>
    <x v="0"/>
    <x v="4"/>
  </r>
  <r>
    <x v="142"/>
    <x v="1"/>
    <x v="3"/>
    <x v="4"/>
    <x v="0"/>
    <x v="67"/>
    <n v="121600.57"/>
    <n v="19"/>
    <n v="94"/>
    <x v="1"/>
    <x v="1"/>
  </r>
  <r>
    <x v="143"/>
    <x v="3"/>
    <x v="1"/>
    <x v="3"/>
    <x v="1"/>
    <x v="68"/>
    <n v="60409.31"/>
    <n v="25"/>
    <n v="94"/>
    <x v="0"/>
    <x v="3"/>
  </r>
  <r>
    <x v="144"/>
    <x v="0"/>
    <x v="1"/>
    <x v="2"/>
    <x v="1"/>
    <x v="25"/>
    <n v="148766.01"/>
    <n v="21"/>
    <n v="76"/>
    <x v="1"/>
    <x v="1"/>
  </r>
  <r>
    <x v="145"/>
    <x v="0"/>
    <x v="2"/>
    <x v="3"/>
    <x v="1"/>
    <x v="17"/>
    <n v="46211.03"/>
    <n v="4"/>
    <n v="97"/>
    <x v="0"/>
    <x v="7"/>
  </r>
  <r>
    <x v="146"/>
    <x v="5"/>
    <x v="0"/>
    <x v="3"/>
    <x v="1"/>
    <x v="69"/>
    <n v="32781.94"/>
    <n v="1"/>
    <n v="83"/>
    <x v="0"/>
    <x v="5"/>
  </r>
  <r>
    <x v="147"/>
    <x v="5"/>
    <x v="1"/>
    <x v="1"/>
    <x v="2"/>
    <x v="23"/>
    <n v="139264.72"/>
    <n v="14"/>
    <n v="72"/>
    <x v="1"/>
    <x v="4"/>
  </r>
  <r>
    <x v="148"/>
    <x v="1"/>
    <x v="0"/>
    <x v="4"/>
    <x v="0"/>
    <x v="5"/>
    <n v="15165.98"/>
    <n v="25"/>
    <n v="86"/>
    <x v="0"/>
    <x v="2"/>
  </r>
  <r>
    <x v="149"/>
    <x v="0"/>
    <x v="2"/>
    <x v="1"/>
    <x v="1"/>
    <x v="38"/>
    <n v="133910.69"/>
    <n v="22"/>
    <n v="87"/>
    <x v="1"/>
    <x v="5"/>
  </r>
  <r>
    <x v="150"/>
    <x v="3"/>
    <x v="2"/>
    <x v="0"/>
    <x v="1"/>
    <x v="42"/>
    <n v="82835.539999999994"/>
    <n v="24"/>
    <n v="94"/>
    <x v="1"/>
    <x v="0"/>
  </r>
  <r>
    <x v="151"/>
    <x v="0"/>
    <x v="1"/>
    <x v="4"/>
    <x v="1"/>
    <x v="70"/>
    <n v="109945.06"/>
    <n v="23"/>
    <n v="76"/>
    <x v="1"/>
    <x v="6"/>
  </r>
  <r>
    <x v="152"/>
    <x v="0"/>
    <x v="1"/>
    <x v="3"/>
    <x v="2"/>
    <x v="18"/>
    <n v="40894.400000000001"/>
    <n v="20"/>
    <n v="46"/>
    <x v="0"/>
    <x v="7"/>
  </r>
  <r>
    <x v="153"/>
    <x v="0"/>
    <x v="1"/>
    <x v="3"/>
    <x v="2"/>
    <x v="71"/>
    <n v="5522.04"/>
    <n v="20"/>
    <n v="95"/>
    <x v="0"/>
    <x v="3"/>
  </r>
  <r>
    <x v="154"/>
    <x v="2"/>
    <x v="3"/>
    <x v="3"/>
    <x v="1"/>
    <x v="64"/>
    <n v="121567.96"/>
    <n v="26"/>
    <n v="65"/>
    <x v="1"/>
    <x v="4"/>
  </r>
  <r>
    <x v="155"/>
    <x v="0"/>
    <x v="3"/>
    <x v="4"/>
    <x v="0"/>
    <x v="72"/>
    <n v="14606.74"/>
    <n v="30"/>
    <n v="75"/>
    <x v="0"/>
    <x v="7"/>
  </r>
  <r>
    <x v="156"/>
    <x v="1"/>
    <x v="2"/>
    <x v="2"/>
    <x v="1"/>
    <x v="39"/>
    <n v="116568.72"/>
    <n v="24"/>
    <n v="65"/>
    <x v="1"/>
    <x v="0"/>
  </r>
  <r>
    <x v="157"/>
    <x v="3"/>
    <x v="1"/>
    <x v="4"/>
    <x v="1"/>
    <x v="52"/>
    <n v="70189.8"/>
    <n v="14"/>
    <n v="88"/>
    <x v="0"/>
    <x v="4"/>
  </r>
  <r>
    <x v="158"/>
    <x v="5"/>
    <x v="1"/>
    <x v="3"/>
    <x v="2"/>
    <x v="71"/>
    <n v="136392.39000000001"/>
    <n v="22"/>
    <n v="77"/>
    <x v="1"/>
    <x v="3"/>
  </r>
  <r>
    <x v="159"/>
    <x v="5"/>
    <x v="3"/>
    <x v="3"/>
    <x v="2"/>
    <x v="9"/>
    <n v="139281.34"/>
    <n v="24"/>
    <n v="96"/>
    <x v="1"/>
    <x v="1"/>
  </r>
  <r>
    <x v="160"/>
    <x v="1"/>
    <x v="0"/>
    <x v="3"/>
    <x v="1"/>
    <x v="37"/>
    <n v="140818.37"/>
    <n v="9"/>
    <n v="42"/>
    <x v="1"/>
    <x v="2"/>
  </r>
  <r>
    <x v="161"/>
    <x v="4"/>
    <x v="3"/>
    <x v="1"/>
    <x v="1"/>
    <x v="73"/>
    <n v="56018.43"/>
    <n v="7"/>
    <n v="77"/>
    <x v="0"/>
    <x v="5"/>
  </r>
  <r>
    <x v="162"/>
    <x v="2"/>
    <x v="3"/>
    <x v="4"/>
    <x v="2"/>
    <x v="74"/>
    <n v="144841.74"/>
    <n v="5"/>
    <n v="57"/>
    <x v="1"/>
    <x v="5"/>
  </r>
  <r>
    <x v="163"/>
    <x v="4"/>
    <x v="0"/>
    <x v="2"/>
    <x v="1"/>
    <x v="29"/>
    <n v="123398.79"/>
    <n v="21"/>
    <n v="77"/>
    <x v="1"/>
    <x v="6"/>
  </r>
  <r>
    <x v="164"/>
    <x v="1"/>
    <x v="3"/>
    <x v="4"/>
    <x v="1"/>
    <x v="49"/>
    <n v="10911.55"/>
    <n v="19"/>
    <n v="47"/>
    <x v="0"/>
    <x v="1"/>
  </r>
  <r>
    <x v="165"/>
    <x v="5"/>
    <x v="1"/>
    <x v="4"/>
    <x v="0"/>
    <x v="35"/>
    <n v="96532.96"/>
    <n v="7"/>
    <n v="93"/>
    <x v="1"/>
    <x v="2"/>
  </r>
  <r>
    <x v="166"/>
    <x v="1"/>
    <x v="3"/>
    <x v="4"/>
    <x v="2"/>
    <x v="44"/>
    <n v="126056.09"/>
    <n v="11"/>
    <n v="78"/>
    <x v="1"/>
    <x v="1"/>
  </r>
  <r>
    <x v="167"/>
    <x v="5"/>
    <x v="3"/>
    <x v="4"/>
    <x v="2"/>
    <x v="55"/>
    <n v="92788.13"/>
    <n v="4"/>
    <n v="41"/>
    <x v="1"/>
    <x v="4"/>
  </r>
  <r>
    <x v="168"/>
    <x v="1"/>
    <x v="0"/>
    <x v="3"/>
    <x v="1"/>
    <x v="75"/>
    <n v="24614.639999999999"/>
    <n v="30"/>
    <n v="57"/>
    <x v="0"/>
    <x v="4"/>
  </r>
  <r>
    <x v="169"/>
    <x v="4"/>
    <x v="0"/>
    <x v="0"/>
    <x v="2"/>
    <x v="9"/>
    <n v="36862.400000000001"/>
    <n v="28"/>
    <n v="66"/>
    <x v="0"/>
    <x v="1"/>
  </r>
  <r>
    <x v="170"/>
    <x v="0"/>
    <x v="1"/>
    <x v="0"/>
    <x v="1"/>
    <x v="14"/>
    <n v="84065.42"/>
    <n v="28"/>
    <n v="50"/>
    <x v="1"/>
    <x v="4"/>
  </r>
  <r>
    <x v="171"/>
    <x v="0"/>
    <x v="3"/>
    <x v="0"/>
    <x v="2"/>
    <x v="55"/>
    <n v="83047.11"/>
    <n v="13"/>
    <n v="50"/>
    <x v="1"/>
    <x v="4"/>
  </r>
  <r>
    <x v="172"/>
    <x v="0"/>
    <x v="0"/>
    <x v="3"/>
    <x v="2"/>
    <x v="50"/>
    <n v="96326.11"/>
    <n v="17"/>
    <n v="82"/>
    <x v="1"/>
    <x v="1"/>
  </r>
  <r>
    <x v="173"/>
    <x v="5"/>
    <x v="3"/>
    <x v="0"/>
    <x v="1"/>
    <x v="76"/>
    <n v="49487.73"/>
    <n v="27"/>
    <n v="72"/>
    <x v="0"/>
    <x v="5"/>
  </r>
  <r>
    <x v="174"/>
    <x v="0"/>
    <x v="3"/>
    <x v="1"/>
    <x v="1"/>
    <x v="36"/>
    <n v="18263.25"/>
    <n v="29"/>
    <n v="83"/>
    <x v="0"/>
    <x v="0"/>
  </r>
  <r>
    <x v="175"/>
    <x v="4"/>
    <x v="2"/>
    <x v="0"/>
    <x v="0"/>
    <x v="18"/>
    <n v="149013.84"/>
    <n v="26"/>
    <n v="93"/>
    <x v="1"/>
    <x v="7"/>
  </r>
  <r>
    <x v="176"/>
    <x v="2"/>
    <x v="1"/>
    <x v="3"/>
    <x v="2"/>
    <x v="77"/>
    <n v="46708.35"/>
    <n v="1"/>
    <n v="88"/>
    <x v="0"/>
    <x v="5"/>
  </r>
  <r>
    <x v="177"/>
    <x v="3"/>
    <x v="0"/>
    <x v="1"/>
    <x v="1"/>
    <x v="51"/>
    <n v="68133.7"/>
    <n v="9"/>
    <n v="60"/>
    <x v="0"/>
    <x v="1"/>
  </r>
  <r>
    <x v="178"/>
    <x v="5"/>
    <x v="2"/>
    <x v="0"/>
    <x v="1"/>
    <x v="78"/>
    <n v="19213.509999999998"/>
    <n v="26"/>
    <n v="96"/>
    <x v="0"/>
    <x v="2"/>
  </r>
  <r>
    <x v="179"/>
    <x v="3"/>
    <x v="3"/>
    <x v="3"/>
    <x v="1"/>
    <x v="33"/>
    <n v="22138.22"/>
    <n v="3"/>
    <n v="96"/>
    <x v="0"/>
    <x v="5"/>
  </r>
  <r>
    <x v="180"/>
    <x v="2"/>
    <x v="1"/>
    <x v="1"/>
    <x v="1"/>
    <x v="12"/>
    <n v="30460.26"/>
    <n v="21"/>
    <n v="63"/>
    <x v="0"/>
    <x v="5"/>
  </r>
  <r>
    <x v="181"/>
    <x v="1"/>
    <x v="2"/>
    <x v="2"/>
    <x v="1"/>
    <x v="28"/>
    <n v="52772.62"/>
    <n v="9"/>
    <n v="62"/>
    <x v="0"/>
    <x v="7"/>
  </r>
  <r>
    <x v="182"/>
    <x v="2"/>
    <x v="2"/>
    <x v="1"/>
    <x v="1"/>
    <x v="51"/>
    <n v="118241.71"/>
    <n v="24"/>
    <n v="81"/>
    <x v="1"/>
    <x v="1"/>
  </r>
  <r>
    <x v="183"/>
    <x v="0"/>
    <x v="1"/>
    <x v="4"/>
    <x v="1"/>
    <x v="54"/>
    <n v="19477.689999999999"/>
    <n v="6"/>
    <n v="65"/>
    <x v="0"/>
    <x v="5"/>
  </r>
  <r>
    <x v="184"/>
    <x v="5"/>
    <x v="2"/>
    <x v="2"/>
    <x v="0"/>
    <x v="79"/>
    <n v="114541.22"/>
    <n v="25"/>
    <n v="69"/>
    <x v="1"/>
    <x v="2"/>
  </r>
  <r>
    <x v="185"/>
    <x v="5"/>
    <x v="0"/>
    <x v="3"/>
    <x v="0"/>
    <x v="74"/>
    <n v="56437.97"/>
    <n v="21"/>
    <n v="78"/>
    <x v="0"/>
    <x v="5"/>
  </r>
  <r>
    <x v="186"/>
    <x v="4"/>
    <x v="1"/>
    <x v="1"/>
    <x v="1"/>
    <x v="24"/>
    <n v="53586.34"/>
    <n v="22"/>
    <n v="96"/>
    <x v="0"/>
    <x v="2"/>
  </r>
  <r>
    <x v="187"/>
    <x v="0"/>
    <x v="3"/>
    <x v="1"/>
    <x v="0"/>
    <x v="11"/>
    <n v="13836.03"/>
    <n v="15"/>
    <n v="60"/>
    <x v="0"/>
    <x v="5"/>
  </r>
  <r>
    <x v="188"/>
    <x v="1"/>
    <x v="2"/>
    <x v="2"/>
    <x v="1"/>
    <x v="64"/>
    <n v="54960.36"/>
    <n v="26"/>
    <n v="61"/>
    <x v="0"/>
    <x v="4"/>
  </r>
  <r>
    <x v="189"/>
    <x v="1"/>
    <x v="1"/>
    <x v="4"/>
    <x v="0"/>
    <x v="53"/>
    <n v="92629.07"/>
    <n v="11"/>
    <n v="96"/>
    <x v="1"/>
    <x v="5"/>
  </r>
  <r>
    <x v="190"/>
    <x v="3"/>
    <x v="3"/>
    <x v="4"/>
    <x v="2"/>
    <x v="1"/>
    <n v="69945.08"/>
    <n v="8"/>
    <n v="80"/>
    <x v="0"/>
    <x v="1"/>
  </r>
  <r>
    <x v="191"/>
    <x v="2"/>
    <x v="1"/>
    <x v="0"/>
    <x v="0"/>
    <x v="11"/>
    <n v="132120.79"/>
    <n v="25"/>
    <n v="81"/>
    <x v="1"/>
    <x v="5"/>
  </r>
  <r>
    <x v="192"/>
    <x v="2"/>
    <x v="1"/>
    <x v="3"/>
    <x v="1"/>
    <x v="30"/>
    <n v="132726.88"/>
    <n v="24"/>
    <n v="54"/>
    <x v="1"/>
    <x v="3"/>
  </r>
  <r>
    <x v="193"/>
    <x v="0"/>
    <x v="1"/>
    <x v="1"/>
    <x v="2"/>
    <x v="53"/>
    <n v="40806.769999999997"/>
    <n v="1"/>
    <n v="51"/>
    <x v="0"/>
    <x v="5"/>
  </r>
  <r>
    <x v="194"/>
    <x v="3"/>
    <x v="3"/>
    <x v="4"/>
    <x v="0"/>
    <x v="52"/>
    <n v="56926.38"/>
    <n v="11"/>
    <n v="81"/>
    <x v="0"/>
    <x v="4"/>
  </r>
  <r>
    <x v="195"/>
    <x v="2"/>
    <x v="1"/>
    <x v="4"/>
    <x v="2"/>
    <x v="17"/>
    <n v="87386.12"/>
    <n v="14"/>
    <n v="63"/>
    <x v="1"/>
    <x v="7"/>
  </r>
  <r>
    <x v="196"/>
    <x v="2"/>
    <x v="2"/>
    <x v="0"/>
    <x v="0"/>
    <x v="42"/>
    <n v="7805.22"/>
    <n v="13"/>
    <n v="91"/>
    <x v="0"/>
    <x v="0"/>
  </r>
  <r>
    <x v="197"/>
    <x v="2"/>
    <x v="0"/>
    <x v="1"/>
    <x v="1"/>
    <x v="80"/>
    <n v="64936.83"/>
    <n v="23"/>
    <n v="51"/>
    <x v="0"/>
    <x v="2"/>
  </r>
  <r>
    <x v="198"/>
    <x v="5"/>
    <x v="3"/>
    <x v="4"/>
    <x v="0"/>
    <x v="34"/>
    <n v="57025.03"/>
    <n v="18"/>
    <n v="50"/>
    <x v="0"/>
    <x v="3"/>
  </r>
  <r>
    <x v="199"/>
    <x v="5"/>
    <x v="3"/>
    <x v="2"/>
    <x v="0"/>
    <x v="14"/>
    <n v="145631.91"/>
    <n v="6"/>
    <n v="4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84672-79E3-4EC9-9B34-66358714C9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17:E22" firstHeaderRow="1" firstDataRow="1" firstDataCol="1"/>
  <pivotFields count="11">
    <pivotField showAll="0"/>
    <pivotField showAll="0">
      <items count="7">
        <item x="3"/>
        <item h="1" x="0"/>
        <item h="1" x="4"/>
        <item h="1" x="5"/>
        <item h="1" x="2"/>
        <item h="1" x="1"/>
        <item t="default"/>
      </items>
    </pivotField>
    <pivotField axis="axisRow"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g Recovery Score" fld="8" subtotal="average" baseField="1" baseItem="0" numFmtId="2"/>
  </dataFields>
  <formats count="1">
    <format dxfId="403">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8DE66-65FF-4543-9722-F482C71971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7:B23" firstHeaderRow="1" firstDataRow="1" firstDataCol="1"/>
  <pivotFields count="11">
    <pivotField showAll="0"/>
    <pivotField showAll="0">
      <items count="7">
        <item x="3"/>
        <item h="1" x="0"/>
        <item h="1" x="4"/>
        <item h="1" x="5"/>
        <item h="1" x="2"/>
        <item h="1" x="1"/>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g Recovery Score" fld="8" subtotal="average" baseField="1" baseItem="0" numFmtId="2"/>
  </dataFields>
  <formats count="1">
    <format dxfId="404">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BA8A0-90BD-4129-AFEC-855CF14309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D9" firstHeaderRow="0" firstDataRow="1" firstDataCol="1"/>
  <pivotFields count="11">
    <pivotField showAll="0"/>
    <pivotField axis="axisRow" showAll="0">
      <items count="7">
        <item x="3"/>
        <item h="1" x="0"/>
        <item h="1" x="4"/>
        <item h="1" x="5"/>
        <item h="1" x="2"/>
        <item h="1"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2">
    <i>
      <x/>
    </i>
    <i t="grand">
      <x/>
    </i>
  </rowItems>
  <colFields count="1">
    <field x="-2"/>
  </colFields>
  <colItems count="3">
    <i>
      <x/>
    </i>
    <i i="1">
      <x v="1"/>
    </i>
    <i i="2">
      <x v="2"/>
    </i>
  </colItems>
  <dataFields count="3">
    <dataField name="Avg Recovery Score" fld="8" subtotal="average" baseField="1" baseItem="0" numFmtId="2"/>
    <dataField name="Min Recovery Score" fld="8" subtotal="min" baseField="1" baseItem="0"/>
    <dataField name="StdDev of Recovery Score" fld="8" subtotal="stdDev" baseField="1" baseItem="0"/>
  </dataFields>
  <formats count="3">
    <format dxfId="407">
      <pivotArea collapsedLevelsAreSubtotals="1" fieldPosition="0">
        <references count="2">
          <reference field="4294967294" count="1" selected="0">
            <x v="2"/>
          </reference>
          <reference field="1" count="0"/>
        </references>
      </pivotArea>
    </format>
    <format dxfId="406">
      <pivotArea collapsedLevelsAreSubtotals="1" fieldPosition="0">
        <references count="2">
          <reference field="4294967294" count="1" selected="0">
            <x v="1"/>
          </reference>
          <reference field="1" count="0"/>
        </references>
      </pivotArea>
    </format>
    <format dxfId="405">
      <pivotArea grandRow="1" outline="0" collapsedLevelsAreSubtotals="1" fieldPosition="0"/>
    </format>
  </format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4B9210-8C96-4CF8-BA63-FCBCEF566B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7">
        <item x="3"/>
        <item h="1" x="0"/>
        <item h="1" x="4"/>
        <item h="1" x="5"/>
        <item h="1" x="2"/>
        <item h="1"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Count of Patient ID" fld="0" subtotal="count" baseField="0" baseItem="0"/>
    <dataField name="Average of Age" fld="5" subtotal="average" baseField="0" baseItem="1" numFmtId="2"/>
    <dataField name="Average of Treatment Cost" fld="6" subtotal="average" baseField="0" baseItem="2" numFmtId="164"/>
    <dataField name="Average of Hospital Stay (Days)" fld="7" subtotal="average" baseField="0" baseItem="3" numFmtId="2"/>
    <dataField name="Average of Recovery Score" fld="8" subtotal="average" baseField="0" baseItem="4" numFmtId="2"/>
  </dataFields>
  <formats count="2">
    <format dxfId="409">
      <pivotArea outline="0" collapsedLevelsAreSubtotals="1" fieldPosition="0">
        <references count="1">
          <reference field="4294967294" count="1" selected="0">
            <x v="4"/>
          </reference>
        </references>
      </pivotArea>
    </format>
    <format dxfId="40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A7D60-EFF9-4279-A4A1-50F56C46C7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25:B29" firstHeaderRow="1" firstDataRow="1" firstDataCol="1"/>
  <pivotFields count="11">
    <pivotField showAll="0"/>
    <pivotField showAll="0">
      <items count="7">
        <item x="3"/>
        <item h="1" x="0"/>
        <item h="1" x="4"/>
        <item h="1" x="5"/>
        <item h="1" x="2"/>
        <item h="1"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g Recovery Score" fld="8" subtotal="average" baseField="1" baseItem="0" numFmtId="2"/>
  </dataFields>
  <formats count="1">
    <format dxfId="410">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4" count="1" selected="0">
            <x v="0"/>
          </reference>
        </references>
      </pivotArea>
    </chartFormat>
    <chartFormat chart="41" format="7">
      <pivotArea type="data" outline="0" fieldPosition="0">
        <references count="2">
          <reference field="4294967294" count="1" selected="0">
            <x v="0"/>
          </reference>
          <reference field="4" count="1" selected="0">
            <x v="1"/>
          </reference>
        </references>
      </pivotArea>
    </chartFormat>
    <chartFormat chart="4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85E01-7A56-47BF-A8AC-31994F83CF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1:B40" firstHeaderRow="1" firstDataRow="1" firstDataCol="1"/>
  <pivotFields count="11">
    <pivotField showAll="0"/>
    <pivotField showAll="0">
      <items count="7">
        <item x="3"/>
        <item h="1" x="0"/>
        <item h="1" x="4"/>
        <item h="1" x="5"/>
        <item h="1" x="2"/>
        <item h="1"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axis="axisRow" showAll="0">
      <items count="9">
        <item x="4"/>
        <item x="0"/>
        <item x="2"/>
        <item x="7"/>
        <item x="1"/>
        <item x="6"/>
        <item x="3"/>
        <item x="5"/>
        <item t="default"/>
      </items>
    </pivotField>
  </pivotFields>
  <rowFields count="1">
    <field x="10"/>
  </rowFields>
  <rowItems count="9">
    <i>
      <x/>
    </i>
    <i>
      <x v="1"/>
    </i>
    <i>
      <x v="2"/>
    </i>
    <i>
      <x v="3"/>
    </i>
    <i>
      <x v="4"/>
    </i>
    <i>
      <x v="5"/>
    </i>
    <i>
      <x v="6"/>
    </i>
    <i>
      <x v="7"/>
    </i>
    <i t="grand">
      <x/>
    </i>
  </rowItems>
  <colItems count="1">
    <i/>
  </colItems>
  <dataFields count="1">
    <dataField name="Avg Recovery Score" fld="8" subtotal="average" baseField="1" baseItem="0" numFmtId="2"/>
  </dataFields>
  <formats count="1">
    <format dxfId="411">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08818-A79B-490E-8A92-24F2243F72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C25:D28" firstHeaderRow="1" firstDataRow="1" firstDataCol="1"/>
  <pivotFields count="11">
    <pivotField showAll="0"/>
    <pivotField showAll="0">
      <items count="7">
        <item x="3"/>
        <item h="1" x="0"/>
        <item h="1" x="4"/>
        <item h="1" x="5"/>
        <item h="1" x="2"/>
        <item h="1"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Avg Recovery Score" fld="8" subtotal="average" baseField="1" baseItem="0" numFmtId="2"/>
  </dataFields>
  <formats count="1">
    <format dxfId="412">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9" count="1" selected="0">
            <x v="0"/>
          </reference>
        </references>
      </pivotArea>
    </chartFormat>
    <chartFormat chart="3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9232C4-4D59-4F59-9EEF-C5FC473514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F15" firstHeaderRow="1" firstDataRow="2" firstDataCol="1"/>
  <pivotFields count="11">
    <pivotField dataField="1" showAll="0"/>
    <pivotField showAll="0"/>
    <pivotField axis="axisCol" showAll="0">
      <items count="5">
        <item x="1"/>
        <item x="2"/>
        <item x="3"/>
        <item x="0"/>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5">
    <i>
      <x/>
    </i>
    <i>
      <x v="1"/>
    </i>
    <i>
      <x v="2"/>
    </i>
    <i>
      <x v="3"/>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BC2FD6-6126-4A89-A127-20D5B5D0985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J31:K38" firstHeaderRow="1" firstDataRow="1" firstDataCol="1"/>
  <pivotFields count="11">
    <pivotField showAll="0"/>
    <pivotField axis="axisRow" showAll="0">
      <items count="7">
        <item x="3"/>
        <item x="0"/>
        <item x="4"/>
        <item x="5"/>
        <item x="2"/>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7">
    <i>
      <x/>
    </i>
    <i>
      <x v="1"/>
    </i>
    <i>
      <x v="2"/>
    </i>
    <i>
      <x v="3"/>
    </i>
    <i>
      <x v="4"/>
    </i>
    <i>
      <x v="5"/>
    </i>
    <i t="grand">
      <x/>
    </i>
  </rowItems>
  <colItems count="1">
    <i/>
  </colItems>
  <dataFields count="1">
    <dataField name="Average of Recovery Score" fld="8"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E9AA1C-811F-4C94-81C2-674E8B5EA77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H33:I40" firstHeaderRow="1" firstDataRow="1" firstDataCol="1"/>
  <pivotFields count="11">
    <pivotField showAll="0"/>
    <pivotField axis="axisRow" showAll="0">
      <items count="7">
        <item x="3"/>
        <item x="0"/>
        <item x="4"/>
        <item x="5"/>
        <item x="2"/>
        <item x="1"/>
        <item t="default"/>
      </items>
    </pivotField>
    <pivotField showAll="0"/>
    <pivotField showAll="0"/>
    <pivotField showAll="0"/>
    <pivotField showAll="0"/>
    <pivotField dataField="1"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Treatment 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4DE999-31EB-445B-85D9-2076423A308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J12:J13"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Treatment Cost"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C00E99-DDDF-48C5-8F6C-30640C57D7D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H10" firstHeaderRow="1" firstDataRow="2" firstDataCol="1"/>
  <pivotFields count="11">
    <pivotField dataField="1" showAll="0"/>
    <pivotField axis="axisCol" showAll="0">
      <items count="7">
        <item x="3"/>
        <item x="0"/>
        <item x="4"/>
        <item x="5"/>
        <item x="2"/>
        <item x="1"/>
        <item t="default"/>
      </items>
    </pivotField>
    <pivotField showAll="0"/>
    <pivotField showAll="0"/>
    <pivotField showAll="0"/>
    <pivotField showAll="0"/>
    <pivotField showAll="0"/>
    <pivotField showAll="0"/>
    <pivotField showAll="0"/>
    <pivotField showAll="0"/>
    <pivotField showAll="0"/>
  </pivotFields>
  <rowItems count="1">
    <i/>
  </rowItems>
  <colFields count="1">
    <field x="1"/>
  </colFields>
  <colItems count="7">
    <i>
      <x/>
    </i>
    <i>
      <x v="1"/>
    </i>
    <i>
      <x v="2"/>
    </i>
    <i>
      <x v="3"/>
    </i>
    <i>
      <x v="4"/>
    </i>
    <i>
      <x v="5"/>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38DD4EC-DD00-4EF4-9141-89F6CF7834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5" firstHeaderRow="1" firstDataRow="1" firstDataCol="1"/>
  <pivotFields count="11">
    <pivotField dataField="1" showAll="0"/>
    <pivotField showAll="0"/>
    <pivotField showAll="0"/>
    <pivotField axis="axisRow" showAll="0">
      <items count="6">
        <item x="3"/>
        <item x="0"/>
        <item x="1"/>
        <item x="4"/>
        <item x="2"/>
        <item t="default"/>
      </items>
    </pivotField>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5043D2-5E71-4BF6-8058-D8943B1176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28:B229" firstHeaderRow="1" firstDataRow="1" firstDataCol="1"/>
  <pivotFields count="11">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dataField="1" showAll="0"/>
    <pivotField showAll="0"/>
    <pivotField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Hospital Stay (Day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BE744B-CAF3-4EC0-B1C6-010019BDA31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H24:I29" firstHeaderRow="1" firstDataRow="1" firstDataCol="1"/>
  <pivotFields count="11">
    <pivotField showAll="0"/>
    <pivotField showAll="0"/>
    <pivotField axis="axisRow" showAll="0">
      <items count="5">
        <item x="1"/>
        <item x="2"/>
        <item x="3"/>
        <item x="0"/>
        <item t="default"/>
      </items>
    </pivotField>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Treatment 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8EAE93-B62C-47FA-BF73-8E2785828FB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J9:J10" firstHeaderRow="1" firstDataRow="1" firstDataCol="0"/>
  <pivotFields count="11">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0B103F-9BCB-48F7-87CD-651265AC16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E24:F34" firstHeaderRow="1" firstDataRow="1" firstDataCol="1"/>
  <pivotFields count="11">
    <pivotField dataField="1"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s>
  <rowFields count="1">
    <field x="5"/>
  </rowFields>
  <rowItems count="10">
    <i>
      <x v="1"/>
    </i>
    <i>
      <x v="2"/>
    </i>
    <i>
      <x v="3"/>
    </i>
    <i>
      <x v="4"/>
    </i>
    <i>
      <x v="5"/>
    </i>
    <i>
      <x v="6"/>
    </i>
    <i>
      <x v="7"/>
    </i>
    <i>
      <x v="8"/>
    </i>
    <i>
      <x v="9"/>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D099B4-762F-44E2-B474-FF3F57A232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E38:F239" firstHeaderRow="1" firstDataRow="1" firstDataCol="1"/>
  <pivotFields count="11">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dataField="1" showAll="0"/>
    <pivotField showAll="0"/>
    <pivotField showAll="0"/>
    <pivotField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Treatment Cos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542AA96-4693-46BA-B976-899DF2851DA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H44:I245" firstHeaderRow="1" firstDataRow="1" firstDataCol="1"/>
  <pivotFields count="11">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Sum of Recovery Score" fld="8" baseField="0" baseItem="0"/>
  </dataFields>
  <conditionalFormats count="1">
    <conditionalFormat priority="1">
      <pivotAreas count="1">
        <pivotArea type="data" collapsedLevelsAreSubtotals="1" fieldPosition="0">
          <references count="2">
            <reference field="4294967294" count="1" selected="0">
              <x v="0"/>
            </reference>
            <reference field="0" count="2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D43850-84A3-4D27-A327-6DF62248AF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I21" firstHeaderRow="1" firstDataRow="2" firstDataCol="1"/>
  <pivotFields count="11">
    <pivotField dataField="1"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s>
  <rowItems count="1">
    <i/>
  </rowItems>
  <colFields count="1">
    <field x="4"/>
  </colFields>
  <colItems count="4">
    <i>
      <x/>
    </i>
    <i>
      <x v="1"/>
    </i>
    <i>
      <x v="2"/>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1FA7343-02A8-4554-B1C0-7790F36C6C79}" sourceName="Department">
  <pivotTables>
    <pivotTable tabId="3" name="PivotTable2"/>
    <pivotTable tabId="3" name="PivotTable1"/>
    <pivotTable tabId="3" name="PivotTable3"/>
    <pivotTable tabId="3" name="PivotTable4"/>
    <pivotTable tabId="3" name="PivotTable9"/>
    <pivotTable tabId="3" name="PivotTable5"/>
    <pivotTable tabId="3" name="PivotTable6"/>
  </pivotTables>
  <data>
    <tabular pivotCacheId="1498658331">
      <items count="6">
        <i x="3" s="1"/>
        <i x="0"/>
        <i x="4"/>
        <i x="5"/>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CBFAB036-F13E-44FD-9AAB-5E8BCF8B0C78}" sourceName="Treatment Type">
  <pivotTables>
    <pivotTable tabId="3" name="PivotTable2"/>
    <pivotTable tabId="3" name="PivotTable1"/>
    <pivotTable tabId="3" name="PivotTable3"/>
    <pivotTable tabId="3" name="PivotTable4"/>
    <pivotTable tabId="3" name="PivotTable9"/>
    <pivotTable tabId="3" name="PivotTable5"/>
    <pivotTable tabId="3" name="PivotTable6"/>
  </pivotTables>
  <data>
    <tabular pivotCacheId="149865833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EA286F3D-2A90-467F-9373-62DDAE1712DC}" sourceName="Doctor Name">
  <pivotTables>
    <pivotTable tabId="3" name="PivotTable2"/>
    <pivotTable tabId="3" name="PivotTable1"/>
    <pivotTable tabId="3" name="PivotTable3"/>
    <pivotTable tabId="3" name="PivotTable4"/>
    <pivotTable tabId="3" name="PivotTable9"/>
    <pivotTable tabId="3" name="PivotTable5"/>
    <pivotTable tabId="3" name="PivotTable6"/>
  </pivotTables>
  <data>
    <tabular pivotCacheId="149865833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F26402-8EFF-4CE4-ACC5-73ECEDE64BB9}" sourceName="Gender">
  <pivotTables>
    <pivotTable tabId="3" name="PivotTable2"/>
    <pivotTable tabId="3" name="PivotTable1"/>
    <pivotTable tabId="3" name="PivotTable3"/>
    <pivotTable tabId="3" name="PivotTable4"/>
    <pivotTable tabId="3" name="PivotTable9"/>
    <pivotTable tabId="3" name="PivotTable5"/>
    <pivotTable tabId="3" name="PivotTable6"/>
  </pivotTables>
  <data>
    <tabular pivotCacheId="14986583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FF25A19-2E38-4788-A2D9-34DB021465A5}" cache="Slicer_Department" caption="Department" columnCount="3" style="SlicerStyleLight2" rowHeight="257175"/>
  <slicer name="Treatment Type" xr10:uid="{1BA12E7D-3883-4202-B590-A53F5B7D8A27}" cache="Slicer_Treatment_Type" caption="Treatment Type" columnCount="3" style="SlicerStyleLight2" rowHeight="257175"/>
  <slicer name="Doctor Name" xr10:uid="{128EBC15-80F5-4F04-95AA-F498A6EF9E06}" cache="Slicer_Doctor_Name" caption="Doctor Name" columnCount="3" style="SlicerStyleLight2" rowHeight="257175"/>
  <slicer name="Gender" xr10:uid="{989D33DA-C932-412D-8709-95CAC59DFF05}" cache="Slicer_Gender" caption="Gender" columnCount="3"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F327EEA-4102-4EA1-9452-1F6AB43CC3B9}" cache="Slicer_Department" caption="Department" style="SlicerStyleLight2" rowHeight="257175"/>
  <slicer name="Treatment Type 1" xr10:uid="{E22824CD-8913-47E8-BF76-4D51322E12B9}" cache="Slicer_Treatment_Type" caption="Treatment Type" style="SlicerStyleLight2" rowHeight="257175"/>
  <slicer name="Doctor Name 1" xr10:uid="{5944E32E-7712-4A69-8CCC-CEFAE739CA1E}" cache="Slicer_Doctor_Name" caption="Doctor Name" style="SlicerStyleLight2" rowHeight="257175"/>
  <slicer name="Gender 1" xr10:uid="{40E80217-1F9B-4DF0-9465-32A2B6D17D0A}" cache="Slicer_Gender" caption="Gender"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1100DA-F8F2-4C28-9FC1-8BCEC27E34B8}" name="PatientData" displayName="PatientData" ref="A1:K201" totalsRowShown="0" headerRowDxfId="402">
  <autoFilter ref="A1:K201" xr:uid="{801100DA-F8F2-4C28-9FC1-8BCEC27E34B8}"/>
  <tableColumns count="11">
    <tableColumn id="1" xr3:uid="{718C8AFA-11E4-45E2-8A36-F584EA274D05}" name="Patient ID"/>
    <tableColumn id="2" xr3:uid="{54843890-9A4C-4BD1-9CF9-8DE4DBAC8A11}" name="Department"/>
    <tableColumn id="3" xr3:uid="{D9B355C4-055F-434D-85FF-AB50E3DF844E}" name="Treatment Type"/>
    <tableColumn id="4" xr3:uid="{E8A4176B-FB08-410A-AEAE-97E12A32693A}" name="Doctor Name"/>
    <tableColumn id="5" xr3:uid="{EB0C0FD3-78DE-48E8-907C-6D811E9CC385}" name="Gender"/>
    <tableColumn id="6" xr3:uid="{53400873-CC68-4E92-9ADC-04F52969E498}" name="Age"/>
    <tableColumn id="7" xr3:uid="{5D57C78A-2F1B-4B3E-A8AA-09D9C59EA915}" name="Treatment Cost"/>
    <tableColumn id="8" xr3:uid="{EF24E9A6-B170-42C3-80E8-BD7379AF08CF}" name="Hospital Stay (Days)"/>
    <tableColumn id="9" xr3:uid="{249A161B-647A-4354-A14B-E7B9EACFBF83}" name="Recovery Score"/>
    <tableColumn id="10" xr3:uid="{749E4A3E-079F-4620-A128-85A15B9270AE}" name="Cost Level" dataDxfId="400">
      <calculatedColumnFormula>IF(PatientData[[#This Row],[Treatment Cost]]&gt;75000,"High Cost","Low Cost")</calculatedColumnFormula>
    </tableColumn>
    <tableColumn id="11" xr3:uid="{374BDB97-F908-4470-AF1A-CCFB3B334595}" name="Age Group" dataDxfId="401">
      <calculatedColumnFormula>IF(PatientData[[#This Row],[Age]]&lt;=5,"Infant",IF(PatientData[[#This Row],[Age]]&lt;=12,"Child",IF(PatientData[[#This Row],[Age]]&lt;=19,"Teenager",IF(PatientData[[#This Row],[Age]]&lt;=29,"Young Adult", IF(PatientData[[#This Row],[Age]]&lt;=44,"Adult",IF(PatientData[[#This Row],[Age]]&lt;=59,"Middle-Age", IF(PatientData[[#This Row],[Age]]&lt;=74,"Senior","Elderly")))))))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3DA5-DC97-476B-AFDA-B6975A496E89}">
  <dimension ref="A3:M40"/>
  <sheetViews>
    <sheetView topLeftCell="A22" workbookViewId="0">
      <selection activeCell="D31" sqref="D31:E39"/>
    </sheetView>
  </sheetViews>
  <sheetFormatPr defaultRowHeight="15" x14ac:dyDescent="0.25"/>
  <cols>
    <col min="1" max="1" width="13.42578125" bestFit="1" customWidth="1"/>
    <col min="2" max="2" width="18.85546875" bestFit="1" customWidth="1"/>
    <col min="3" max="3" width="13.42578125" bestFit="1" customWidth="1"/>
    <col min="4" max="5" width="18.85546875" bestFit="1" customWidth="1"/>
    <col min="6" max="6" width="13.42578125" bestFit="1" customWidth="1"/>
    <col min="7" max="7" width="18.85546875" bestFit="1" customWidth="1"/>
    <col min="8" max="13" width="25.28515625" customWidth="1"/>
  </cols>
  <sheetData>
    <row r="3" spans="1:13" x14ac:dyDescent="0.25">
      <c r="A3" t="s">
        <v>230</v>
      </c>
      <c r="B3" t="s">
        <v>249</v>
      </c>
      <c r="C3" t="s">
        <v>248</v>
      </c>
      <c r="D3" t="s">
        <v>250</v>
      </c>
      <c r="E3" t="s">
        <v>251</v>
      </c>
    </row>
    <row r="4" spans="1:13" x14ac:dyDescent="0.25">
      <c r="A4" s="9">
        <v>24</v>
      </c>
      <c r="B4" s="4">
        <v>45.416666666666664</v>
      </c>
      <c r="C4" s="6">
        <v>75039.257500000007</v>
      </c>
      <c r="D4" s="4">
        <v>15.833333333333334</v>
      </c>
      <c r="E4" s="4">
        <v>70.5</v>
      </c>
      <c r="F4" s="4"/>
      <c r="G4" s="4"/>
      <c r="H4" s="4"/>
      <c r="I4" s="4"/>
      <c r="J4" s="4"/>
      <c r="K4" s="4"/>
      <c r="L4" s="4"/>
      <c r="M4" s="4"/>
    </row>
    <row r="6" spans="1:13" x14ac:dyDescent="0.25">
      <c r="A6" s="7" t="s">
        <v>255</v>
      </c>
      <c r="B6" s="7"/>
      <c r="C6" s="7"/>
      <c r="D6" s="7"/>
    </row>
    <row r="7" spans="1:13" x14ac:dyDescent="0.25">
      <c r="A7" s="2" t="s">
        <v>227</v>
      </c>
      <c r="B7" t="s">
        <v>253</v>
      </c>
      <c r="C7" t="s">
        <v>254</v>
      </c>
      <c r="D7" t="s">
        <v>252</v>
      </c>
    </row>
    <row r="8" spans="1:13" x14ac:dyDescent="0.25">
      <c r="A8" s="3" t="s">
        <v>25</v>
      </c>
      <c r="B8" s="4">
        <v>70.5</v>
      </c>
      <c r="C8" s="4">
        <v>41</v>
      </c>
      <c r="D8" s="4">
        <v>19.571496576932219</v>
      </c>
    </row>
    <row r="9" spans="1:13" x14ac:dyDescent="0.25">
      <c r="A9" s="3" t="s">
        <v>228</v>
      </c>
      <c r="B9" s="4">
        <v>70.5</v>
      </c>
      <c r="C9" s="4">
        <v>41</v>
      </c>
      <c r="D9" s="4">
        <v>19.571496576932219</v>
      </c>
    </row>
    <row r="10" spans="1:13" x14ac:dyDescent="0.25">
      <c r="E10" s="5"/>
      <c r="F10" s="5"/>
    </row>
    <row r="11" spans="1:13" x14ac:dyDescent="0.25">
      <c r="E11" s="3"/>
      <c r="F11" s="4"/>
    </row>
    <row r="12" spans="1:13" x14ac:dyDescent="0.25">
      <c r="E12" s="3"/>
      <c r="F12" s="4"/>
    </row>
    <row r="13" spans="1:13" x14ac:dyDescent="0.25">
      <c r="E13" s="3"/>
      <c r="F13" s="4"/>
    </row>
    <row r="14" spans="1:13" x14ac:dyDescent="0.25">
      <c r="E14" s="3"/>
      <c r="F14" s="4"/>
    </row>
    <row r="17" spans="1:5" x14ac:dyDescent="0.25">
      <c r="A17" s="2" t="s">
        <v>227</v>
      </c>
      <c r="B17" t="s">
        <v>253</v>
      </c>
      <c r="D17" s="2" t="s">
        <v>227</v>
      </c>
      <c r="E17" t="s">
        <v>253</v>
      </c>
    </row>
    <row r="18" spans="1:5" x14ac:dyDescent="0.25">
      <c r="A18" s="3" t="s">
        <v>26</v>
      </c>
      <c r="B18" s="4">
        <v>72.75</v>
      </c>
      <c r="D18" s="3" t="s">
        <v>16</v>
      </c>
      <c r="E18" s="4">
        <v>70.375</v>
      </c>
    </row>
    <row r="19" spans="1:5" x14ac:dyDescent="0.25">
      <c r="A19" s="3" t="s">
        <v>12</v>
      </c>
      <c r="B19" s="4">
        <v>66.2</v>
      </c>
      <c r="D19" s="3" t="s">
        <v>28</v>
      </c>
      <c r="E19" s="4">
        <v>63</v>
      </c>
    </row>
    <row r="20" spans="1:5" x14ac:dyDescent="0.25">
      <c r="A20" s="3" t="s">
        <v>17</v>
      </c>
      <c r="B20" s="4">
        <v>75</v>
      </c>
      <c r="D20" s="3" t="s">
        <v>41</v>
      </c>
      <c r="E20" s="4">
        <v>77.2</v>
      </c>
    </row>
    <row r="21" spans="1:5" x14ac:dyDescent="0.25">
      <c r="A21" s="3" t="s">
        <v>32</v>
      </c>
      <c r="B21" s="4">
        <v>65.625</v>
      </c>
      <c r="D21" s="3" t="s">
        <v>11</v>
      </c>
      <c r="E21" s="4">
        <v>71.333333333333329</v>
      </c>
    </row>
    <row r="22" spans="1:5" x14ac:dyDescent="0.25">
      <c r="A22" s="3" t="s">
        <v>23</v>
      </c>
      <c r="B22" s="4">
        <v>85</v>
      </c>
      <c r="D22" s="3" t="s">
        <v>228</v>
      </c>
      <c r="E22" s="4">
        <v>70.5</v>
      </c>
    </row>
    <row r="23" spans="1:5" x14ac:dyDescent="0.25">
      <c r="A23" s="3" t="s">
        <v>228</v>
      </c>
      <c r="B23" s="4">
        <v>70.5</v>
      </c>
    </row>
    <row r="25" spans="1:5" x14ac:dyDescent="0.25">
      <c r="A25" s="2" t="s">
        <v>227</v>
      </c>
      <c r="B25" t="s">
        <v>253</v>
      </c>
      <c r="C25" s="2" t="s">
        <v>227</v>
      </c>
      <c r="D25" t="s">
        <v>253</v>
      </c>
    </row>
    <row r="26" spans="1:5" x14ac:dyDescent="0.25">
      <c r="A26" s="3" t="s">
        <v>13</v>
      </c>
      <c r="B26" s="4">
        <v>63.875</v>
      </c>
      <c r="C26" s="3" t="s">
        <v>257</v>
      </c>
      <c r="D26" s="4">
        <v>71.2</v>
      </c>
    </row>
    <row r="27" spans="1:5" x14ac:dyDescent="0.25">
      <c r="A27" s="3" t="s">
        <v>18</v>
      </c>
      <c r="B27" s="4">
        <v>83.375</v>
      </c>
      <c r="C27" s="3" t="s">
        <v>258</v>
      </c>
      <c r="D27" s="4">
        <v>70</v>
      </c>
    </row>
    <row r="28" spans="1:5" x14ac:dyDescent="0.25">
      <c r="A28" s="3" t="s">
        <v>29</v>
      </c>
      <c r="B28" s="4">
        <v>64.25</v>
      </c>
      <c r="C28" s="3" t="s">
        <v>228</v>
      </c>
      <c r="D28" s="4">
        <v>70.5</v>
      </c>
    </row>
    <row r="29" spans="1:5" x14ac:dyDescent="0.25">
      <c r="A29" s="3" t="s">
        <v>228</v>
      </c>
      <c r="B29" s="4">
        <v>70.5</v>
      </c>
    </row>
    <row r="31" spans="1:5" x14ac:dyDescent="0.25">
      <c r="A31" s="2" t="s">
        <v>227</v>
      </c>
      <c r="B31" t="s">
        <v>253</v>
      </c>
      <c r="C31" s="5"/>
      <c r="D31" s="5"/>
      <c r="E31" s="5"/>
    </row>
    <row r="32" spans="1:5" x14ac:dyDescent="0.25">
      <c r="A32" s="3" t="s">
        <v>260</v>
      </c>
      <c r="B32" s="4">
        <v>75.8</v>
      </c>
      <c r="C32" s="3"/>
      <c r="D32" s="3"/>
      <c r="E32" s="4"/>
    </row>
    <row r="33" spans="1:5" x14ac:dyDescent="0.25">
      <c r="A33" s="3" t="s">
        <v>261</v>
      </c>
      <c r="B33" s="4">
        <v>95</v>
      </c>
      <c r="C33" s="3"/>
      <c r="D33" s="3"/>
      <c r="E33" s="4"/>
    </row>
    <row r="34" spans="1:5" x14ac:dyDescent="0.25">
      <c r="A34" s="3" t="s">
        <v>262</v>
      </c>
      <c r="B34" s="4">
        <v>63</v>
      </c>
      <c r="C34" s="3"/>
      <c r="D34" s="3"/>
      <c r="E34" s="4"/>
    </row>
    <row r="35" spans="1:5" x14ac:dyDescent="0.25">
      <c r="A35" s="3" t="s">
        <v>263</v>
      </c>
      <c r="B35" s="4">
        <v>42</v>
      </c>
      <c r="C35" s="3"/>
      <c r="D35" s="3"/>
      <c r="E35" s="4"/>
    </row>
    <row r="36" spans="1:5" x14ac:dyDescent="0.25">
      <c r="A36" s="3" t="s">
        <v>264</v>
      </c>
      <c r="B36" s="4">
        <v>65.2</v>
      </c>
      <c r="C36" s="3"/>
      <c r="D36" s="3"/>
      <c r="E36" s="4"/>
    </row>
    <row r="37" spans="1:5" x14ac:dyDescent="0.25">
      <c r="A37" s="3" t="s">
        <v>265</v>
      </c>
      <c r="B37" s="4">
        <v>59</v>
      </c>
      <c r="C37" s="3"/>
      <c r="D37" s="3"/>
      <c r="E37" s="4"/>
    </row>
    <row r="38" spans="1:5" x14ac:dyDescent="0.25">
      <c r="A38" s="3" t="s">
        <v>266</v>
      </c>
      <c r="B38" s="4">
        <v>94</v>
      </c>
      <c r="C38" s="3"/>
      <c r="D38" s="3"/>
      <c r="E38" s="4"/>
    </row>
    <row r="39" spans="1:5" x14ac:dyDescent="0.25">
      <c r="A39" s="3" t="s">
        <v>267</v>
      </c>
      <c r="B39" s="4">
        <v>70.8</v>
      </c>
      <c r="C39" s="3"/>
      <c r="D39" s="3"/>
      <c r="E39" s="4"/>
    </row>
    <row r="40" spans="1:5" x14ac:dyDescent="0.25">
      <c r="A40" s="3" t="s">
        <v>228</v>
      </c>
      <c r="B40" s="4">
        <v>70.5</v>
      </c>
    </row>
  </sheetData>
  <mergeCells count="1">
    <mergeCell ref="A6:D6"/>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F98F-9BEA-4797-99A5-37D2E7C9878C}">
  <dimension ref="A1"/>
  <sheetViews>
    <sheetView showGridLines="0" tabSelected="1" zoomScale="90" zoomScaleNormal="90" workbookViewId="0">
      <selection activeCell="U18" sqref="U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6D50-F01B-40D1-9D90-4F6D4B536EA5}">
  <dimension ref="A1:K201"/>
  <sheetViews>
    <sheetView workbookViewId="0">
      <selection activeCell="N6" sqref="N6"/>
    </sheetView>
  </sheetViews>
  <sheetFormatPr defaultRowHeight="15" x14ac:dyDescent="0.25"/>
  <cols>
    <col min="1" max="1" width="12" customWidth="1"/>
    <col min="2" max="2" width="16.140625" bestFit="1" customWidth="1"/>
    <col min="3" max="3" width="17.140625" customWidth="1"/>
    <col min="4" max="4" width="15" customWidth="1"/>
    <col min="5" max="5" width="9.85546875" customWidth="1"/>
    <col min="6" max="6" width="6.42578125" customWidth="1"/>
    <col min="7" max="7" width="17.140625" customWidth="1"/>
    <col min="8" max="8" width="21.28515625" customWidth="1"/>
    <col min="9" max="9" width="17.140625" customWidth="1"/>
    <col min="10" max="10" width="12.85546875" bestFit="1" customWidth="1"/>
    <col min="11" max="11" width="11.42578125" bestFit="1" customWidth="1"/>
  </cols>
  <sheetData>
    <row r="1" spans="1:11" s="1" customFormat="1" x14ac:dyDescent="0.25">
      <c r="A1" s="1" t="s">
        <v>0</v>
      </c>
      <c r="B1" s="1" t="s">
        <v>1</v>
      </c>
      <c r="C1" s="1" t="s">
        <v>2</v>
      </c>
      <c r="D1" s="1" t="s">
        <v>3</v>
      </c>
      <c r="E1" s="1" t="s">
        <v>4</v>
      </c>
      <c r="F1" s="1" t="s">
        <v>5</v>
      </c>
      <c r="G1" s="1" t="s">
        <v>6</v>
      </c>
      <c r="H1" s="1" t="s">
        <v>7</v>
      </c>
      <c r="I1" s="1" t="s">
        <v>8</v>
      </c>
      <c r="J1" s="1" t="s">
        <v>256</v>
      </c>
      <c r="K1" s="1" t="s">
        <v>259</v>
      </c>
    </row>
    <row r="2" spans="1:11" x14ac:dyDescent="0.25">
      <c r="A2" t="s">
        <v>9</v>
      </c>
      <c r="B2" t="s">
        <v>10</v>
      </c>
      <c r="C2" t="s">
        <v>11</v>
      </c>
      <c r="D2" t="s">
        <v>12</v>
      </c>
      <c r="E2" t="s">
        <v>13</v>
      </c>
      <c r="F2">
        <v>12</v>
      </c>
      <c r="G2">
        <v>68632.97</v>
      </c>
      <c r="H2">
        <v>21</v>
      </c>
      <c r="I2">
        <v>82</v>
      </c>
      <c r="J2" t="str">
        <f>IF(PatientData[[#This Row],[Treatment Cost]]&gt;75000,"High Cost","Low Cost")</f>
        <v>Low Cost</v>
      </c>
      <c r="K2"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3" spans="1:11" x14ac:dyDescent="0.25">
      <c r="A3" t="s">
        <v>14</v>
      </c>
      <c r="B3" t="s">
        <v>15</v>
      </c>
      <c r="C3" t="s">
        <v>16</v>
      </c>
      <c r="D3" t="s">
        <v>17</v>
      </c>
      <c r="E3" t="s">
        <v>18</v>
      </c>
      <c r="F3">
        <v>52</v>
      </c>
      <c r="G3">
        <v>10231.42</v>
      </c>
      <c r="H3">
        <v>20</v>
      </c>
      <c r="I3">
        <v>42</v>
      </c>
      <c r="J3" t="str">
        <f>IF(PatientData[[#This Row],[Treatment Cost]]&gt;75000,"High Cost","Low Cost")</f>
        <v>Low Cost</v>
      </c>
      <c r="K3"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4" spans="1:11" x14ac:dyDescent="0.25">
      <c r="A4" t="s">
        <v>19</v>
      </c>
      <c r="B4" t="s">
        <v>15</v>
      </c>
      <c r="C4" t="s">
        <v>11</v>
      </c>
      <c r="D4" t="s">
        <v>12</v>
      </c>
      <c r="E4" t="s">
        <v>18</v>
      </c>
      <c r="F4">
        <v>79</v>
      </c>
      <c r="G4">
        <v>10160.24</v>
      </c>
      <c r="H4">
        <v>2</v>
      </c>
      <c r="I4">
        <v>72</v>
      </c>
      <c r="J4" t="str">
        <f>IF(PatientData[[#This Row],[Treatment Cost]]&gt;75000,"High Cost","Low Cost")</f>
        <v>Low Cost</v>
      </c>
      <c r="K4"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5" spans="1:11" x14ac:dyDescent="0.25">
      <c r="A5" t="s">
        <v>20</v>
      </c>
      <c r="B5" t="s">
        <v>15</v>
      </c>
      <c r="C5" t="s">
        <v>11</v>
      </c>
      <c r="D5" t="s">
        <v>12</v>
      </c>
      <c r="E5" t="s">
        <v>13</v>
      </c>
      <c r="F5">
        <v>23</v>
      </c>
      <c r="G5">
        <v>103508.96</v>
      </c>
      <c r="H5">
        <v>20</v>
      </c>
      <c r="I5">
        <v>50</v>
      </c>
      <c r="J5" t="str">
        <f>IF(PatientData[[#This Row],[Treatment Cost]]&gt;75000,"High Cost","Low Cost")</f>
        <v>High Cost</v>
      </c>
      <c r="K5"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6" spans="1:11" x14ac:dyDescent="0.25">
      <c r="A6" t="s">
        <v>21</v>
      </c>
      <c r="B6" t="s">
        <v>22</v>
      </c>
      <c r="C6" t="s">
        <v>16</v>
      </c>
      <c r="D6" t="s">
        <v>23</v>
      </c>
      <c r="E6" t="s">
        <v>13</v>
      </c>
      <c r="F6">
        <v>7</v>
      </c>
      <c r="G6">
        <v>143427.51999999999</v>
      </c>
      <c r="H6">
        <v>6</v>
      </c>
      <c r="I6">
        <v>43</v>
      </c>
      <c r="J6" t="str">
        <f>IF(PatientData[[#This Row],[Treatment Cost]]&gt;75000,"High Cost","Low Cost")</f>
        <v>High Cost</v>
      </c>
      <c r="K6"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7" spans="1:11" x14ac:dyDescent="0.25">
      <c r="A7" t="s">
        <v>24</v>
      </c>
      <c r="B7" t="s">
        <v>25</v>
      </c>
      <c r="C7" t="s">
        <v>16</v>
      </c>
      <c r="D7" t="s">
        <v>26</v>
      </c>
      <c r="E7" t="s">
        <v>13</v>
      </c>
      <c r="F7">
        <v>78</v>
      </c>
      <c r="G7">
        <v>146252.19</v>
      </c>
      <c r="H7">
        <v>9</v>
      </c>
      <c r="I7">
        <v>41</v>
      </c>
      <c r="J7" t="str">
        <f>IF(PatientData[[#This Row],[Treatment Cost]]&gt;75000,"High Cost","Low Cost")</f>
        <v>High Cost</v>
      </c>
      <c r="K7"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8" spans="1:11" x14ac:dyDescent="0.25">
      <c r="A8" t="s">
        <v>27</v>
      </c>
      <c r="B8" t="s">
        <v>25</v>
      </c>
      <c r="C8" t="s">
        <v>28</v>
      </c>
      <c r="D8" t="s">
        <v>17</v>
      </c>
      <c r="E8" t="s">
        <v>29</v>
      </c>
      <c r="F8">
        <v>30</v>
      </c>
      <c r="G8">
        <v>54393.48</v>
      </c>
      <c r="H8">
        <v>1</v>
      </c>
      <c r="I8">
        <v>42</v>
      </c>
      <c r="J8" t="str">
        <f>IF(PatientData[[#This Row],[Treatment Cost]]&gt;75000,"High Cost","Low Cost")</f>
        <v>Low Cost</v>
      </c>
      <c r="K8"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9" spans="1:11" x14ac:dyDescent="0.25">
      <c r="A9" t="s">
        <v>30</v>
      </c>
      <c r="B9" t="s">
        <v>31</v>
      </c>
      <c r="C9" t="s">
        <v>28</v>
      </c>
      <c r="D9" t="s">
        <v>32</v>
      </c>
      <c r="E9" t="s">
        <v>29</v>
      </c>
      <c r="F9">
        <v>68</v>
      </c>
      <c r="G9">
        <v>30452.22</v>
      </c>
      <c r="H9">
        <v>6</v>
      </c>
      <c r="I9">
        <v>77</v>
      </c>
      <c r="J9" t="str">
        <f>IF(PatientData[[#This Row],[Treatment Cost]]&gt;75000,"High Cost","Low Cost")</f>
        <v>Low Cost</v>
      </c>
      <c r="K9"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0" spans="1:11" x14ac:dyDescent="0.25">
      <c r="A10" t="s">
        <v>33</v>
      </c>
      <c r="B10" t="s">
        <v>10</v>
      </c>
      <c r="C10" t="s">
        <v>28</v>
      </c>
      <c r="D10" t="s">
        <v>12</v>
      </c>
      <c r="E10" t="s">
        <v>29</v>
      </c>
      <c r="F10">
        <v>41</v>
      </c>
      <c r="G10">
        <v>79517.25</v>
      </c>
      <c r="H10">
        <v>9</v>
      </c>
      <c r="I10">
        <v>62</v>
      </c>
      <c r="J10" t="str">
        <f>IF(PatientData[[#This Row],[Treatment Cost]]&gt;75000,"High Cost","Low Cost")</f>
        <v>High Cost</v>
      </c>
      <c r="K10"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1" spans="1:11" x14ac:dyDescent="0.25">
      <c r="A11" t="s">
        <v>34</v>
      </c>
      <c r="B11" t="s">
        <v>15</v>
      </c>
      <c r="C11" t="s">
        <v>16</v>
      </c>
      <c r="D11" t="s">
        <v>23</v>
      </c>
      <c r="E11" t="s">
        <v>29</v>
      </c>
      <c r="F11">
        <v>56</v>
      </c>
      <c r="G11">
        <v>116558.38</v>
      </c>
      <c r="H11">
        <v>24</v>
      </c>
      <c r="I11">
        <v>48</v>
      </c>
      <c r="J11" t="str">
        <f>IF(PatientData[[#This Row],[Treatment Cost]]&gt;75000,"High Cost","Low Cost")</f>
        <v>High Cost</v>
      </c>
      <c r="K1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2" spans="1:11" x14ac:dyDescent="0.25">
      <c r="A12" t="s">
        <v>35</v>
      </c>
      <c r="B12" t="s">
        <v>36</v>
      </c>
      <c r="C12" t="s">
        <v>16</v>
      </c>
      <c r="D12" t="s">
        <v>23</v>
      </c>
      <c r="E12" t="s">
        <v>13</v>
      </c>
      <c r="F12">
        <v>24</v>
      </c>
      <c r="G12">
        <v>135883.74</v>
      </c>
      <c r="H12">
        <v>15</v>
      </c>
      <c r="I12">
        <v>54</v>
      </c>
      <c r="J12" t="str">
        <f>IF(PatientData[[#This Row],[Treatment Cost]]&gt;75000,"High Cost","Low Cost")</f>
        <v>High Cost</v>
      </c>
      <c r="K12"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3" spans="1:11" x14ac:dyDescent="0.25">
      <c r="A13" t="s">
        <v>37</v>
      </c>
      <c r="B13" t="s">
        <v>15</v>
      </c>
      <c r="C13" t="s">
        <v>28</v>
      </c>
      <c r="D13" t="s">
        <v>17</v>
      </c>
      <c r="E13" t="s">
        <v>13</v>
      </c>
      <c r="F13">
        <v>62</v>
      </c>
      <c r="G13">
        <v>148179.98000000001</v>
      </c>
      <c r="H13">
        <v>11</v>
      </c>
      <c r="I13">
        <v>87</v>
      </c>
      <c r="J13" t="str">
        <f>IF(PatientData[[#This Row],[Treatment Cost]]&gt;75000,"High Cost","Low Cost")</f>
        <v>High Cost</v>
      </c>
      <c r="K1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4" spans="1:11" x14ac:dyDescent="0.25">
      <c r="A14" t="s">
        <v>38</v>
      </c>
      <c r="B14" t="s">
        <v>25</v>
      </c>
      <c r="C14" t="s">
        <v>28</v>
      </c>
      <c r="D14" t="s">
        <v>32</v>
      </c>
      <c r="E14" t="s">
        <v>13</v>
      </c>
      <c r="F14">
        <v>65</v>
      </c>
      <c r="G14">
        <v>20591.650000000001</v>
      </c>
      <c r="H14">
        <v>28</v>
      </c>
      <c r="I14">
        <v>52</v>
      </c>
      <c r="J14" t="str">
        <f>IF(PatientData[[#This Row],[Treatment Cost]]&gt;75000,"High Cost","Low Cost")</f>
        <v>Low Cost</v>
      </c>
      <c r="K1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5" spans="1:11" x14ac:dyDescent="0.25">
      <c r="A15" t="s">
        <v>39</v>
      </c>
      <c r="B15" t="s">
        <v>10</v>
      </c>
      <c r="C15" t="s">
        <v>28</v>
      </c>
      <c r="D15" t="s">
        <v>12</v>
      </c>
      <c r="E15" t="s">
        <v>13</v>
      </c>
      <c r="F15">
        <v>13</v>
      </c>
      <c r="G15">
        <v>59149.07</v>
      </c>
      <c r="H15">
        <v>19</v>
      </c>
      <c r="I15">
        <v>86</v>
      </c>
      <c r="J15" t="str">
        <f>IF(PatientData[[#This Row],[Treatment Cost]]&gt;75000,"High Cost","Low Cost")</f>
        <v>Low Cost</v>
      </c>
      <c r="K15"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16" spans="1:11" x14ac:dyDescent="0.25">
      <c r="A16" t="s">
        <v>40</v>
      </c>
      <c r="B16" t="s">
        <v>10</v>
      </c>
      <c r="C16" t="s">
        <v>41</v>
      </c>
      <c r="D16" t="s">
        <v>26</v>
      </c>
      <c r="E16" t="s">
        <v>18</v>
      </c>
      <c r="F16">
        <v>39</v>
      </c>
      <c r="G16">
        <v>59335.72</v>
      </c>
      <c r="H16">
        <v>28</v>
      </c>
      <c r="I16">
        <v>80</v>
      </c>
      <c r="J16" t="str">
        <f>IF(PatientData[[#This Row],[Treatment Cost]]&gt;75000,"High Cost","Low Cost")</f>
        <v>Low Cost</v>
      </c>
      <c r="K1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7" spans="1:11" x14ac:dyDescent="0.25">
      <c r="A17" t="s">
        <v>42</v>
      </c>
      <c r="B17" t="s">
        <v>22</v>
      </c>
      <c r="C17" t="s">
        <v>16</v>
      </c>
      <c r="D17" t="s">
        <v>12</v>
      </c>
      <c r="E17" t="s">
        <v>18</v>
      </c>
      <c r="F17">
        <v>85</v>
      </c>
      <c r="G17">
        <v>101936.34</v>
      </c>
      <c r="H17">
        <v>27</v>
      </c>
      <c r="I17">
        <v>99</v>
      </c>
      <c r="J17" t="str">
        <f>IF(PatientData[[#This Row],[Treatment Cost]]&gt;75000,"High Cost","Low Cost")</f>
        <v>High Cost</v>
      </c>
      <c r="K17"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8" spans="1:11" x14ac:dyDescent="0.25">
      <c r="A18" t="s">
        <v>43</v>
      </c>
      <c r="B18" t="s">
        <v>22</v>
      </c>
      <c r="C18" t="s">
        <v>41</v>
      </c>
      <c r="D18" t="s">
        <v>12</v>
      </c>
      <c r="E18" t="s">
        <v>18</v>
      </c>
      <c r="F18">
        <v>52</v>
      </c>
      <c r="G18">
        <v>107481.12</v>
      </c>
      <c r="H18">
        <v>8</v>
      </c>
      <c r="I18">
        <v>93</v>
      </c>
      <c r="J18" t="str">
        <f>IF(PatientData[[#This Row],[Treatment Cost]]&gt;75000,"High Cost","Low Cost")</f>
        <v>High Cost</v>
      </c>
      <c r="K18"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9" spans="1:11" x14ac:dyDescent="0.25">
      <c r="A19" t="s">
        <v>44</v>
      </c>
      <c r="B19" t="s">
        <v>36</v>
      </c>
      <c r="C19" t="s">
        <v>11</v>
      </c>
      <c r="D19" t="s">
        <v>23</v>
      </c>
      <c r="E19" t="s">
        <v>18</v>
      </c>
      <c r="F19">
        <v>25</v>
      </c>
      <c r="G19">
        <v>142574.53</v>
      </c>
      <c r="H19">
        <v>30</v>
      </c>
      <c r="I19">
        <v>99</v>
      </c>
      <c r="J19" t="str">
        <f>IF(PatientData[[#This Row],[Treatment Cost]]&gt;75000,"High Cost","Low Cost")</f>
        <v>High Cost</v>
      </c>
      <c r="K19"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20" spans="1:11" x14ac:dyDescent="0.25">
      <c r="A20" t="s">
        <v>45</v>
      </c>
      <c r="B20" t="s">
        <v>15</v>
      </c>
      <c r="C20" t="s">
        <v>41</v>
      </c>
      <c r="D20" t="s">
        <v>23</v>
      </c>
      <c r="E20" t="s">
        <v>18</v>
      </c>
      <c r="F20">
        <v>1</v>
      </c>
      <c r="G20">
        <v>43174.44</v>
      </c>
      <c r="H20">
        <v>24</v>
      </c>
      <c r="I20">
        <v>100</v>
      </c>
      <c r="J20" t="str">
        <f>IF(PatientData[[#This Row],[Treatment Cost]]&gt;75000,"High Cost","Low Cost")</f>
        <v>Low Cost</v>
      </c>
      <c r="K20"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21" spans="1:11" x14ac:dyDescent="0.25">
      <c r="A21" t="s">
        <v>46</v>
      </c>
      <c r="B21" t="s">
        <v>31</v>
      </c>
      <c r="C21" t="s">
        <v>16</v>
      </c>
      <c r="D21" t="s">
        <v>12</v>
      </c>
      <c r="E21" t="s">
        <v>13</v>
      </c>
      <c r="F21">
        <v>3</v>
      </c>
      <c r="G21">
        <v>125171.58</v>
      </c>
      <c r="H21">
        <v>30</v>
      </c>
      <c r="I21">
        <v>89</v>
      </c>
      <c r="J21" t="str">
        <f>IF(PatientData[[#This Row],[Treatment Cost]]&gt;75000,"High Cost","Low Cost")</f>
        <v>High Cost</v>
      </c>
      <c r="K21"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22" spans="1:11" x14ac:dyDescent="0.25">
      <c r="A22" t="s">
        <v>47</v>
      </c>
      <c r="B22" t="s">
        <v>15</v>
      </c>
      <c r="C22" t="s">
        <v>11</v>
      </c>
      <c r="D22" t="s">
        <v>26</v>
      </c>
      <c r="E22" t="s">
        <v>18</v>
      </c>
      <c r="F22">
        <v>31</v>
      </c>
      <c r="G22">
        <v>51842.34</v>
      </c>
      <c r="H22">
        <v>15</v>
      </c>
      <c r="I22">
        <v>74</v>
      </c>
      <c r="J22" t="str">
        <f>IF(PatientData[[#This Row],[Treatment Cost]]&gt;75000,"High Cost","Low Cost")</f>
        <v>Low Cost</v>
      </c>
      <c r="K2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23" spans="1:11" x14ac:dyDescent="0.25">
      <c r="A23" t="s">
        <v>48</v>
      </c>
      <c r="B23" t="s">
        <v>36</v>
      </c>
      <c r="C23" t="s">
        <v>11</v>
      </c>
      <c r="D23" t="s">
        <v>26</v>
      </c>
      <c r="E23" t="s">
        <v>18</v>
      </c>
      <c r="F23">
        <v>66</v>
      </c>
      <c r="G23">
        <v>30547.73</v>
      </c>
      <c r="H23">
        <v>11</v>
      </c>
      <c r="I23">
        <v>47</v>
      </c>
      <c r="J23" t="str">
        <f>IF(PatientData[[#This Row],[Treatment Cost]]&gt;75000,"High Cost","Low Cost")</f>
        <v>Low Cost</v>
      </c>
      <c r="K2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24" spans="1:11" x14ac:dyDescent="0.25">
      <c r="A24" t="s">
        <v>49</v>
      </c>
      <c r="B24" t="s">
        <v>22</v>
      </c>
      <c r="C24" t="s">
        <v>11</v>
      </c>
      <c r="D24" t="s">
        <v>32</v>
      </c>
      <c r="E24" t="s">
        <v>18</v>
      </c>
      <c r="F24">
        <v>68</v>
      </c>
      <c r="G24">
        <v>68961.679999999993</v>
      </c>
      <c r="H24">
        <v>5</v>
      </c>
      <c r="I24">
        <v>67</v>
      </c>
      <c r="J24" t="str">
        <f>IF(PatientData[[#This Row],[Treatment Cost]]&gt;75000,"High Cost","Low Cost")</f>
        <v>Low Cost</v>
      </c>
      <c r="K2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25" spans="1:11" x14ac:dyDescent="0.25">
      <c r="A25" t="s">
        <v>50</v>
      </c>
      <c r="B25" t="s">
        <v>36</v>
      </c>
      <c r="C25" t="s">
        <v>11</v>
      </c>
      <c r="D25" t="s">
        <v>32</v>
      </c>
      <c r="E25" t="s">
        <v>29</v>
      </c>
      <c r="F25">
        <v>75</v>
      </c>
      <c r="G25">
        <v>89887.05</v>
      </c>
      <c r="H25">
        <v>28</v>
      </c>
      <c r="I25">
        <v>92</v>
      </c>
      <c r="J25" t="str">
        <f>IF(PatientData[[#This Row],[Treatment Cost]]&gt;75000,"High Cost","Low Cost")</f>
        <v>High Cost</v>
      </c>
      <c r="K25"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26" spans="1:11" x14ac:dyDescent="0.25">
      <c r="A26" t="s">
        <v>51</v>
      </c>
      <c r="B26" t="s">
        <v>15</v>
      </c>
      <c r="C26" t="s">
        <v>16</v>
      </c>
      <c r="D26" t="s">
        <v>12</v>
      </c>
      <c r="E26" t="s">
        <v>18</v>
      </c>
      <c r="F26">
        <v>35</v>
      </c>
      <c r="G26">
        <v>54350.5</v>
      </c>
      <c r="H26">
        <v>24</v>
      </c>
      <c r="I26">
        <v>70</v>
      </c>
      <c r="J26" t="str">
        <f>IF(PatientData[[#This Row],[Treatment Cost]]&gt;75000,"High Cost","Low Cost")</f>
        <v>Low Cost</v>
      </c>
      <c r="K2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27" spans="1:11" x14ac:dyDescent="0.25">
      <c r="A27" t="s">
        <v>52</v>
      </c>
      <c r="B27" t="s">
        <v>31</v>
      </c>
      <c r="C27" t="s">
        <v>11</v>
      </c>
      <c r="D27" t="s">
        <v>23</v>
      </c>
      <c r="E27" t="s">
        <v>18</v>
      </c>
      <c r="F27">
        <v>56</v>
      </c>
      <c r="G27">
        <v>47635.12</v>
      </c>
      <c r="H27">
        <v>3</v>
      </c>
      <c r="I27">
        <v>47</v>
      </c>
      <c r="J27" t="str">
        <f>IF(PatientData[[#This Row],[Treatment Cost]]&gt;75000,"High Cost","Low Cost")</f>
        <v>Low Cost</v>
      </c>
      <c r="K27"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28" spans="1:11" x14ac:dyDescent="0.25">
      <c r="A28" t="s">
        <v>53</v>
      </c>
      <c r="B28" t="s">
        <v>22</v>
      </c>
      <c r="C28" t="s">
        <v>41</v>
      </c>
      <c r="D28" t="s">
        <v>23</v>
      </c>
      <c r="E28" t="s">
        <v>29</v>
      </c>
      <c r="F28">
        <v>34</v>
      </c>
      <c r="G28">
        <v>136077.99</v>
      </c>
      <c r="H28">
        <v>25</v>
      </c>
      <c r="I28">
        <v>58</v>
      </c>
      <c r="J28" t="str">
        <f>IF(PatientData[[#This Row],[Treatment Cost]]&gt;75000,"High Cost","Low Cost")</f>
        <v>High Cost</v>
      </c>
      <c r="K28"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29" spans="1:11" x14ac:dyDescent="0.25">
      <c r="A29" t="s">
        <v>54</v>
      </c>
      <c r="B29" t="s">
        <v>25</v>
      </c>
      <c r="C29" t="s">
        <v>11</v>
      </c>
      <c r="D29" t="s">
        <v>23</v>
      </c>
      <c r="E29" t="s">
        <v>18</v>
      </c>
      <c r="F29">
        <v>31</v>
      </c>
      <c r="G29">
        <v>103276.56</v>
      </c>
      <c r="H29">
        <v>30</v>
      </c>
      <c r="I29">
        <v>84</v>
      </c>
      <c r="J29" t="str">
        <f>IF(PatientData[[#This Row],[Treatment Cost]]&gt;75000,"High Cost","Low Cost")</f>
        <v>High Cost</v>
      </c>
      <c r="K2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30" spans="1:11" x14ac:dyDescent="0.25">
      <c r="A30" t="s">
        <v>55</v>
      </c>
      <c r="B30" t="s">
        <v>10</v>
      </c>
      <c r="C30" t="s">
        <v>41</v>
      </c>
      <c r="D30" t="s">
        <v>26</v>
      </c>
      <c r="E30" t="s">
        <v>18</v>
      </c>
      <c r="F30">
        <v>25</v>
      </c>
      <c r="G30">
        <v>38676.85</v>
      </c>
      <c r="H30">
        <v>9</v>
      </c>
      <c r="I30">
        <v>70</v>
      </c>
      <c r="J30" t="str">
        <f>IF(PatientData[[#This Row],[Treatment Cost]]&gt;75000,"High Cost","Low Cost")</f>
        <v>Low Cost</v>
      </c>
      <c r="K30"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31" spans="1:11" x14ac:dyDescent="0.25">
      <c r="A31" t="s">
        <v>56</v>
      </c>
      <c r="B31" t="s">
        <v>10</v>
      </c>
      <c r="C31" t="s">
        <v>41</v>
      </c>
      <c r="D31" t="s">
        <v>32</v>
      </c>
      <c r="E31" t="s">
        <v>29</v>
      </c>
      <c r="F31">
        <v>86</v>
      </c>
      <c r="G31">
        <v>35788.22</v>
      </c>
      <c r="H31">
        <v>3</v>
      </c>
      <c r="I31">
        <v>66</v>
      </c>
      <c r="J31" t="str">
        <f>IF(PatientData[[#This Row],[Treatment Cost]]&gt;75000,"High Cost","Low Cost")</f>
        <v>Low Cost</v>
      </c>
      <c r="K31"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32" spans="1:11" x14ac:dyDescent="0.25">
      <c r="A32" t="s">
        <v>57</v>
      </c>
      <c r="B32" t="s">
        <v>36</v>
      </c>
      <c r="C32" t="s">
        <v>16</v>
      </c>
      <c r="D32" t="s">
        <v>12</v>
      </c>
      <c r="E32" t="s">
        <v>18</v>
      </c>
      <c r="F32">
        <v>79</v>
      </c>
      <c r="G32">
        <v>140415.63</v>
      </c>
      <c r="H32">
        <v>16</v>
      </c>
      <c r="I32">
        <v>67</v>
      </c>
      <c r="J32" t="str">
        <f>IF(PatientData[[#This Row],[Treatment Cost]]&gt;75000,"High Cost","Low Cost")</f>
        <v>High Cost</v>
      </c>
      <c r="K32"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33" spans="1:11" x14ac:dyDescent="0.25">
      <c r="A33" t="s">
        <v>58</v>
      </c>
      <c r="B33" t="s">
        <v>22</v>
      </c>
      <c r="C33" t="s">
        <v>41</v>
      </c>
      <c r="D33" t="s">
        <v>26</v>
      </c>
      <c r="E33" t="s">
        <v>18</v>
      </c>
      <c r="F33">
        <v>51</v>
      </c>
      <c r="G33">
        <v>143365.82999999999</v>
      </c>
      <c r="H33">
        <v>1</v>
      </c>
      <c r="I33">
        <v>58</v>
      </c>
      <c r="J33" t="str">
        <f>IF(PatientData[[#This Row],[Treatment Cost]]&gt;75000,"High Cost","Low Cost")</f>
        <v>High Cost</v>
      </c>
      <c r="K33"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34" spans="1:11" x14ac:dyDescent="0.25">
      <c r="A34" t="s">
        <v>59</v>
      </c>
      <c r="B34" t="s">
        <v>10</v>
      </c>
      <c r="C34" t="s">
        <v>16</v>
      </c>
      <c r="D34" t="s">
        <v>17</v>
      </c>
      <c r="E34" t="s">
        <v>18</v>
      </c>
      <c r="F34">
        <v>1</v>
      </c>
      <c r="G34">
        <v>101058.07</v>
      </c>
      <c r="H34">
        <v>4</v>
      </c>
      <c r="I34">
        <v>81</v>
      </c>
      <c r="J34" t="str">
        <f>IF(PatientData[[#This Row],[Treatment Cost]]&gt;75000,"High Cost","Low Cost")</f>
        <v>High Cost</v>
      </c>
      <c r="K34"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35" spans="1:11" x14ac:dyDescent="0.25">
      <c r="A35" t="s">
        <v>60</v>
      </c>
      <c r="B35" t="s">
        <v>22</v>
      </c>
      <c r="C35" t="s">
        <v>11</v>
      </c>
      <c r="D35" t="s">
        <v>12</v>
      </c>
      <c r="E35" t="s">
        <v>29</v>
      </c>
      <c r="F35">
        <v>58</v>
      </c>
      <c r="G35">
        <v>41426.04</v>
      </c>
      <c r="H35">
        <v>6</v>
      </c>
      <c r="I35">
        <v>67</v>
      </c>
      <c r="J35" t="str">
        <f>IF(PatientData[[#This Row],[Treatment Cost]]&gt;75000,"High Cost","Low Cost")</f>
        <v>Low Cost</v>
      </c>
      <c r="K35"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36" spans="1:11" x14ac:dyDescent="0.25">
      <c r="A36" t="s">
        <v>61</v>
      </c>
      <c r="B36" t="s">
        <v>22</v>
      </c>
      <c r="C36" t="s">
        <v>28</v>
      </c>
      <c r="D36" t="s">
        <v>17</v>
      </c>
      <c r="E36" t="s">
        <v>13</v>
      </c>
      <c r="F36">
        <v>15</v>
      </c>
      <c r="G36">
        <v>131454.59</v>
      </c>
      <c r="H36">
        <v>30</v>
      </c>
      <c r="I36">
        <v>83</v>
      </c>
      <c r="J36" t="str">
        <f>IF(PatientData[[#This Row],[Treatment Cost]]&gt;75000,"High Cost","Low Cost")</f>
        <v>High Cost</v>
      </c>
      <c r="K36"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37" spans="1:11" x14ac:dyDescent="0.25">
      <c r="A37" t="s">
        <v>62</v>
      </c>
      <c r="B37" t="s">
        <v>10</v>
      </c>
      <c r="C37" t="s">
        <v>16</v>
      </c>
      <c r="D37" t="s">
        <v>32</v>
      </c>
      <c r="E37" t="s">
        <v>13</v>
      </c>
      <c r="F37">
        <v>5</v>
      </c>
      <c r="G37">
        <v>48581.36</v>
      </c>
      <c r="H37">
        <v>16</v>
      </c>
      <c r="I37">
        <v>40</v>
      </c>
      <c r="J37" t="str">
        <f>IF(PatientData[[#This Row],[Treatment Cost]]&gt;75000,"High Cost","Low Cost")</f>
        <v>Low Cost</v>
      </c>
      <c r="K3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38" spans="1:11" x14ac:dyDescent="0.25">
      <c r="A38" t="s">
        <v>63</v>
      </c>
      <c r="B38" t="s">
        <v>15</v>
      </c>
      <c r="C38" t="s">
        <v>11</v>
      </c>
      <c r="D38" t="s">
        <v>17</v>
      </c>
      <c r="E38" t="s">
        <v>13</v>
      </c>
      <c r="F38">
        <v>41</v>
      </c>
      <c r="G38">
        <v>143381.07</v>
      </c>
      <c r="H38">
        <v>1</v>
      </c>
      <c r="I38">
        <v>87</v>
      </c>
      <c r="J38" t="str">
        <f>IF(PatientData[[#This Row],[Treatment Cost]]&gt;75000,"High Cost","Low Cost")</f>
        <v>High Cost</v>
      </c>
      <c r="K38"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39" spans="1:11" x14ac:dyDescent="0.25">
      <c r="A39" t="s">
        <v>64</v>
      </c>
      <c r="B39" t="s">
        <v>15</v>
      </c>
      <c r="C39" t="s">
        <v>11</v>
      </c>
      <c r="D39" t="s">
        <v>17</v>
      </c>
      <c r="E39" t="s">
        <v>18</v>
      </c>
      <c r="F39">
        <v>3</v>
      </c>
      <c r="G39">
        <v>50045.440000000002</v>
      </c>
      <c r="H39">
        <v>15</v>
      </c>
      <c r="I39">
        <v>84</v>
      </c>
      <c r="J39" t="str">
        <f>IF(PatientData[[#This Row],[Treatment Cost]]&gt;75000,"High Cost","Low Cost")</f>
        <v>Low Cost</v>
      </c>
      <c r="K39"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40" spans="1:11" x14ac:dyDescent="0.25">
      <c r="A40" t="s">
        <v>65</v>
      </c>
      <c r="B40" t="s">
        <v>22</v>
      </c>
      <c r="C40" t="s">
        <v>11</v>
      </c>
      <c r="D40" t="s">
        <v>17</v>
      </c>
      <c r="E40" t="s">
        <v>29</v>
      </c>
      <c r="F40">
        <v>58</v>
      </c>
      <c r="G40">
        <v>86479.95</v>
      </c>
      <c r="H40">
        <v>1</v>
      </c>
      <c r="I40">
        <v>75</v>
      </c>
      <c r="J40" t="str">
        <f>IF(PatientData[[#This Row],[Treatment Cost]]&gt;75000,"High Cost","Low Cost")</f>
        <v>High Cost</v>
      </c>
      <c r="K40"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41" spans="1:11" x14ac:dyDescent="0.25">
      <c r="A41" t="s">
        <v>66</v>
      </c>
      <c r="B41" t="s">
        <v>15</v>
      </c>
      <c r="C41" t="s">
        <v>41</v>
      </c>
      <c r="D41" t="s">
        <v>23</v>
      </c>
      <c r="E41" t="s">
        <v>18</v>
      </c>
      <c r="F41">
        <v>14</v>
      </c>
      <c r="G41">
        <v>9067.3799999999992</v>
      </c>
      <c r="H41">
        <v>28</v>
      </c>
      <c r="I41">
        <v>86</v>
      </c>
      <c r="J41" t="str">
        <f>IF(PatientData[[#This Row],[Treatment Cost]]&gt;75000,"High Cost","Low Cost")</f>
        <v>Low Cost</v>
      </c>
      <c r="K41"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42" spans="1:11" x14ac:dyDescent="0.25">
      <c r="A42" t="s">
        <v>67</v>
      </c>
      <c r="B42" t="s">
        <v>15</v>
      </c>
      <c r="C42" t="s">
        <v>28</v>
      </c>
      <c r="D42" t="s">
        <v>23</v>
      </c>
      <c r="E42" t="s">
        <v>18</v>
      </c>
      <c r="F42">
        <v>31</v>
      </c>
      <c r="G42">
        <v>113414.83</v>
      </c>
      <c r="H42">
        <v>8</v>
      </c>
      <c r="I42">
        <v>70</v>
      </c>
      <c r="J42" t="str">
        <f>IF(PatientData[[#This Row],[Treatment Cost]]&gt;75000,"High Cost","Low Cost")</f>
        <v>High Cost</v>
      </c>
      <c r="K4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43" spans="1:11" x14ac:dyDescent="0.25">
      <c r="A43" t="s">
        <v>68</v>
      </c>
      <c r="B43" t="s">
        <v>31</v>
      </c>
      <c r="C43" t="s">
        <v>16</v>
      </c>
      <c r="D43" t="s">
        <v>12</v>
      </c>
      <c r="E43" t="s">
        <v>18</v>
      </c>
      <c r="F43">
        <v>85</v>
      </c>
      <c r="G43">
        <v>78946.19</v>
      </c>
      <c r="H43">
        <v>3</v>
      </c>
      <c r="I43">
        <v>48</v>
      </c>
      <c r="J43" t="str">
        <f>IF(PatientData[[#This Row],[Treatment Cost]]&gt;75000,"High Cost","Low Cost")</f>
        <v>High Cost</v>
      </c>
      <c r="K43"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44" spans="1:11" x14ac:dyDescent="0.25">
      <c r="A44" t="s">
        <v>69</v>
      </c>
      <c r="B44" t="s">
        <v>10</v>
      </c>
      <c r="C44" t="s">
        <v>11</v>
      </c>
      <c r="D44" t="s">
        <v>26</v>
      </c>
      <c r="E44" t="s">
        <v>18</v>
      </c>
      <c r="F44">
        <v>22</v>
      </c>
      <c r="G44">
        <v>100035.91</v>
      </c>
      <c r="H44">
        <v>29</v>
      </c>
      <c r="I44">
        <v>70</v>
      </c>
      <c r="J44" t="str">
        <f>IF(PatientData[[#This Row],[Treatment Cost]]&gt;75000,"High Cost","Low Cost")</f>
        <v>High Cost</v>
      </c>
      <c r="K44"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45" spans="1:11" x14ac:dyDescent="0.25">
      <c r="A45" t="s">
        <v>70</v>
      </c>
      <c r="B45" t="s">
        <v>15</v>
      </c>
      <c r="C45" t="s">
        <v>28</v>
      </c>
      <c r="D45" t="s">
        <v>23</v>
      </c>
      <c r="E45" t="s">
        <v>18</v>
      </c>
      <c r="F45">
        <v>62</v>
      </c>
      <c r="G45">
        <v>149340.16</v>
      </c>
      <c r="H45">
        <v>18</v>
      </c>
      <c r="I45">
        <v>49</v>
      </c>
      <c r="J45" t="str">
        <f>IF(PatientData[[#This Row],[Treatment Cost]]&gt;75000,"High Cost","Low Cost")</f>
        <v>High Cost</v>
      </c>
      <c r="K45"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46" spans="1:11" x14ac:dyDescent="0.25">
      <c r="A46" t="s">
        <v>71</v>
      </c>
      <c r="B46" t="s">
        <v>10</v>
      </c>
      <c r="C46" t="s">
        <v>11</v>
      </c>
      <c r="D46" t="s">
        <v>12</v>
      </c>
      <c r="E46" t="s">
        <v>13</v>
      </c>
      <c r="F46">
        <v>79</v>
      </c>
      <c r="G46">
        <v>105328.19</v>
      </c>
      <c r="H46">
        <v>26</v>
      </c>
      <c r="I46">
        <v>94</v>
      </c>
      <c r="J46" t="str">
        <f>IF(PatientData[[#This Row],[Treatment Cost]]&gt;75000,"High Cost","Low Cost")</f>
        <v>High Cost</v>
      </c>
      <c r="K46"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47" spans="1:11" x14ac:dyDescent="0.25">
      <c r="A47" t="s">
        <v>72</v>
      </c>
      <c r="B47" t="s">
        <v>10</v>
      </c>
      <c r="C47" t="s">
        <v>28</v>
      </c>
      <c r="D47" t="s">
        <v>12</v>
      </c>
      <c r="E47" t="s">
        <v>29</v>
      </c>
      <c r="F47">
        <v>19</v>
      </c>
      <c r="G47">
        <v>21826.12</v>
      </c>
      <c r="H47">
        <v>17</v>
      </c>
      <c r="I47">
        <v>48</v>
      </c>
      <c r="J47" t="str">
        <f>IF(PatientData[[#This Row],[Treatment Cost]]&gt;75000,"High Cost","Low Cost")</f>
        <v>Low Cost</v>
      </c>
      <c r="K47"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48" spans="1:11" x14ac:dyDescent="0.25">
      <c r="A48" t="s">
        <v>73</v>
      </c>
      <c r="B48" t="s">
        <v>36</v>
      </c>
      <c r="C48" t="s">
        <v>11</v>
      </c>
      <c r="D48" t="s">
        <v>32</v>
      </c>
      <c r="E48" t="s">
        <v>18</v>
      </c>
      <c r="F48">
        <v>37</v>
      </c>
      <c r="G48">
        <v>77556.53</v>
      </c>
      <c r="H48">
        <v>24</v>
      </c>
      <c r="I48">
        <v>87</v>
      </c>
      <c r="J48" t="str">
        <f>IF(PatientData[[#This Row],[Treatment Cost]]&gt;75000,"High Cost","Low Cost")</f>
        <v>High Cost</v>
      </c>
      <c r="K48"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49" spans="1:11" x14ac:dyDescent="0.25">
      <c r="A49" t="s">
        <v>74</v>
      </c>
      <c r="B49" t="s">
        <v>36</v>
      </c>
      <c r="C49" t="s">
        <v>28</v>
      </c>
      <c r="D49" t="s">
        <v>26</v>
      </c>
      <c r="E49" t="s">
        <v>18</v>
      </c>
      <c r="F49">
        <v>30</v>
      </c>
      <c r="G49">
        <v>53806.86</v>
      </c>
      <c r="H49">
        <v>21</v>
      </c>
      <c r="I49">
        <v>82</v>
      </c>
      <c r="J49" t="str">
        <f>IF(PatientData[[#This Row],[Treatment Cost]]&gt;75000,"High Cost","Low Cost")</f>
        <v>Low Cost</v>
      </c>
      <c r="K4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50" spans="1:11" x14ac:dyDescent="0.25">
      <c r="A50" t="s">
        <v>75</v>
      </c>
      <c r="B50" t="s">
        <v>15</v>
      </c>
      <c r="C50" t="s">
        <v>41</v>
      </c>
      <c r="D50" t="s">
        <v>12</v>
      </c>
      <c r="E50" t="s">
        <v>18</v>
      </c>
      <c r="F50">
        <v>66</v>
      </c>
      <c r="G50">
        <v>84096.91</v>
      </c>
      <c r="H50">
        <v>18</v>
      </c>
      <c r="I50">
        <v>91</v>
      </c>
      <c r="J50" t="str">
        <f>IF(PatientData[[#This Row],[Treatment Cost]]&gt;75000,"High Cost","Low Cost")</f>
        <v>High Cost</v>
      </c>
      <c r="K50"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51" spans="1:11" x14ac:dyDescent="0.25">
      <c r="A51" t="s">
        <v>76</v>
      </c>
      <c r="B51" t="s">
        <v>10</v>
      </c>
      <c r="C51" t="s">
        <v>28</v>
      </c>
      <c r="D51" t="s">
        <v>12</v>
      </c>
      <c r="E51" t="s">
        <v>18</v>
      </c>
      <c r="F51">
        <v>22</v>
      </c>
      <c r="G51">
        <v>46384.67</v>
      </c>
      <c r="H51">
        <v>3</v>
      </c>
      <c r="I51">
        <v>84</v>
      </c>
      <c r="J51" t="str">
        <f>IF(PatientData[[#This Row],[Treatment Cost]]&gt;75000,"High Cost","Low Cost")</f>
        <v>Low Cost</v>
      </c>
      <c r="K51"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52" spans="1:11" x14ac:dyDescent="0.25">
      <c r="A52" t="s">
        <v>77</v>
      </c>
      <c r="B52" t="s">
        <v>10</v>
      </c>
      <c r="C52" t="s">
        <v>28</v>
      </c>
      <c r="D52" t="s">
        <v>17</v>
      </c>
      <c r="E52" t="s">
        <v>18</v>
      </c>
      <c r="F52">
        <v>60</v>
      </c>
      <c r="G52">
        <v>122442.43</v>
      </c>
      <c r="H52">
        <v>6</v>
      </c>
      <c r="I52">
        <v>94</v>
      </c>
      <c r="J52" t="str">
        <f>IF(PatientData[[#This Row],[Treatment Cost]]&gt;75000,"High Cost","Low Cost")</f>
        <v>High Cost</v>
      </c>
      <c r="K52"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53" spans="1:11" x14ac:dyDescent="0.25">
      <c r="A53" t="s">
        <v>78</v>
      </c>
      <c r="B53" t="s">
        <v>31</v>
      </c>
      <c r="C53" t="s">
        <v>16</v>
      </c>
      <c r="D53" t="s">
        <v>12</v>
      </c>
      <c r="E53" t="s">
        <v>29</v>
      </c>
      <c r="F53">
        <v>35</v>
      </c>
      <c r="G53">
        <v>73863.679999999993</v>
      </c>
      <c r="H53">
        <v>17</v>
      </c>
      <c r="I53">
        <v>42</v>
      </c>
      <c r="J53" t="str">
        <f>IF(PatientData[[#This Row],[Treatment Cost]]&gt;75000,"High Cost","Low Cost")</f>
        <v>Low Cost</v>
      </c>
      <c r="K53"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54" spans="1:11" x14ac:dyDescent="0.25">
      <c r="A54" t="s">
        <v>79</v>
      </c>
      <c r="B54" t="s">
        <v>22</v>
      </c>
      <c r="C54" t="s">
        <v>11</v>
      </c>
      <c r="D54" t="s">
        <v>23</v>
      </c>
      <c r="E54" t="s">
        <v>13</v>
      </c>
      <c r="F54">
        <v>21</v>
      </c>
      <c r="G54">
        <v>75334.19</v>
      </c>
      <c r="H54">
        <v>23</v>
      </c>
      <c r="I54">
        <v>51</v>
      </c>
      <c r="J54" t="str">
        <f>IF(PatientData[[#This Row],[Treatment Cost]]&gt;75000,"High Cost","Low Cost")</f>
        <v>High Cost</v>
      </c>
      <c r="K54"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55" spans="1:11" x14ac:dyDescent="0.25">
      <c r="A55" t="s">
        <v>80</v>
      </c>
      <c r="B55" t="s">
        <v>31</v>
      </c>
      <c r="C55" t="s">
        <v>28</v>
      </c>
      <c r="D55" t="s">
        <v>17</v>
      </c>
      <c r="E55" t="s">
        <v>29</v>
      </c>
      <c r="F55">
        <v>51</v>
      </c>
      <c r="G55">
        <v>59829.99</v>
      </c>
      <c r="H55">
        <v>2</v>
      </c>
      <c r="I55">
        <v>40</v>
      </c>
      <c r="J55" t="str">
        <f>IF(PatientData[[#This Row],[Treatment Cost]]&gt;75000,"High Cost","Low Cost")</f>
        <v>Low Cost</v>
      </c>
      <c r="K55"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56" spans="1:11" x14ac:dyDescent="0.25">
      <c r="A56" t="s">
        <v>81</v>
      </c>
      <c r="B56" t="s">
        <v>31</v>
      </c>
      <c r="C56" t="s">
        <v>28</v>
      </c>
      <c r="D56" t="s">
        <v>32</v>
      </c>
      <c r="E56" t="s">
        <v>13</v>
      </c>
      <c r="F56">
        <v>87</v>
      </c>
      <c r="G56">
        <v>5444.8</v>
      </c>
      <c r="H56">
        <v>5</v>
      </c>
      <c r="I56">
        <v>42</v>
      </c>
      <c r="J56" t="str">
        <f>IF(PatientData[[#This Row],[Treatment Cost]]&gt;75000,"High Cost","Low Cost")</f>
        <v>Low Cost</v>
      </c>
      <c r="K56"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57" spans="1:11" x14ac:dyDescent="0.25">
      <c r="A57" t="s">
        <v>82</v>
      </c>
      <c r="B57" t="s">
        <v>25</v>
      </c>
      <c r="C57" t="s">
        <v>11</v>
      </c>
      <c r="D57" t="s">
        <v>17</v>
      </c>
      <c r="E57" t="s">
        <v>18</v>
      </c>
      <c r="F57">
        <v>11</v>
      </c>
      <c r="G57">
        <v>39022.85</v>
      </c>
      <c r="H57">
        <v>8</v>
      </c>
      <c r="I57">
        <v>96</v>
      </c>
      <c r="J57" t="str">
        <f>IF(PatientData[[#This Row],[Treatment Cost]]&gt;75000,"High Cost","Low Cost")</f>
        <v>Low Cost</v>
      </c>
      <c r="K57"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58" spans="1:11" x14ac:dyDescent="0.25">
      <c r="A58" t="s">
        <v>83</v>
      </c>
      <c r="B58" t="s">
        <v>15</v>
      </c>
      <c r="C58" t="s">
        <v>11</v>
      </c>
      <c r="D58" t="s">
        <v>12</v>
      </c>
      <c r="E58" t="s">
        <v>18</v>
      </c>
      <c r="F58">
        <v>7</v>
      </c>
      <c r="G58">
        <v>127110.45</v>
      </c>
      <c r="H58">
        <v>30</v>
      </c>
      <c r="I58">
        <v>100</v>
      </c>
      <c r="J58" t="str">
        <f>IF(PatientData[[#This Row],[Treatment Cost]]&gt;75000,"High Cost","Low Cost")</f>
        <v>High Cost</v>
      </c>
      <c r="K58"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59" spans="1:11" x14ac:dyDescent="0.25">
      <c r="A59" t="s">
        <v>84</v>
      </c>
      <c r="B59" t="s">
        <v>25</v>
      </c>
      <c r="C59" t="s">
        <v>16</v>
      </c>
      <c r="D59" t="s">
        <v>17</v>
      </c>
      <c r="E59" t="s">
        <v>29</v>
      </c>
      <c r="F59">
        <v>80</v>
      </c>
      <c r="G59">
        <v>120082.46</v>
      </c>
      <c r="H59">
        <v>16</v>
      </c>
      <c r="I59">
        <v>93</v>
      </c>
      <c r="J59" t="str">
        <f>IF(PatientData[[#This Row],[Treatment Cost]]&gt;75000,"High Cost","Low Cost")</f>
        <v>High Cost</v>
      </c>
      <c r="K59"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60" spans="1:11" x14ac:dyDescent="0.25">
      <c r="A60" t="s">
        <v>85</v>
      </c>
      <c r="B60" t="s">
        <v>15</v>
      </c>
      <c r="C60" t="s">
        <v>28</v>
      </c>
      <c r="D60" t="s">
        <v>17</v>
      </c>
      <c r="E60" t="s">
        <v>18</v>
      </c>
      <c r="F60">
        <v>75</v>
      </c>
      <c r="G60">
        <v>79671.37</v>
      </c>
      <c r="H60">
        <v>30</v>
      </c>
      <c r="I60">
        <v>43</v>
      </c>
      <c r="J60" t="str">
        <f>IF(PatientData[[#This Row],[Treatment Cost]]&gt;75000,"High Cost","Low Cost")</f>
        <v>High Cost</v>
      </c>
      <c r="K60"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61" spans="1:11" x14ac:dyDescent="0.25">
      <c r="A61" t="s">
        <v>86</v>
      </c>
      <c r="B61" t="s">
        <v>10</v>
      </c>
      <c r="C61" t="s">
        <v>41</v>
      </c>
      <c r="D61" t="s">
        <v>12</v>
      </c>
      <c r="E61" t="s">
        <v>18</v>
      </c>
      <c r="F61">
        <v>7</v>
      </c>
      <c r="G61">
        <v>66277.52</v>
      </c>
      <c r="H61">
        <v>26</v>
      </c>
      <c r="I61">
        <v>69</v>
      </c>
      <c r="J61" t="str">
        <f>IF(PatientData[[#This Row],[Treatment Cost]]&gt;75000,"High Cost","Low Cost")</f>
        <v>Low Cost</v>
      </c>
      <c r="K61"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62" spans="1:11" x14ac:dyDescent="0.25">
      <c r="A62" t="s">
        <v>87</v>
      </c>
      <c r="B62" t="s">
        <v>22</v>
      </c>
      <c r="C62" t="s">
        <v>11</v>
      </c>
      <c r="D62" t="s">
        <v>32</v>
      </c>
      <c r="E62" t="s">
        <v>13</v>
      </c>
      <c r="F62">
        <v>14</v>
      </c>
      <c r="G62">
        <v>12241.3</v>
      </c>
      <c r="H62">
        <v>20</v>
      </c>
      <c r="I62">
        <v>40</v>
      </c>
      <c r="J62" t="str">
        <f>IF(PatientData[[#This Row],[Treatment Cost]]&gt;75000,"High Cost","Low Cost")</f>
        <v>Low Cost</v>
      </c>
      <c r="K62"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63" spans="1:11" x14ac:dyDescent="0.25">
      <c r="A63" t="s">
        <v>88</v>
      </c>
      <c r="B63" t="s">
        <v>36</v>
      </c>
      <c r="C63" t="s">
        <v>28</v>
      </c>
      <c r="D63" t="s">
        <v>17</v>
      </c>
      <c r="E63" t="s">
        <v>18</v>
      </c>
      <c r="F63">
        <v>22</v>
      </c>
      <c r="G63">
        <v>133882.43</v>
      </c>
      <c r="H63">
        <v>29</v>
      </c>
      <c r="I63">
        <v>63</v>
      </c>
      <c r="J63" t="str">
        <f>IF(PatientData[[#This Row],[Treatment Cost]]&gt;75000,"High Cost","Low Cost")</f>
        <v>High Cost</v>
      </c>
      <c r="K63"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64" spans="1:11" x14ac:dyDescent="0.25">
      <c r="A64" t="s">
        <v>89</v>
      </c>
      <c r="B64" t="s">
        <v>25</v>
      </c>
      <c r="C64" t="s">
        <v>41</v>
      </c>
      <c r="D64" t="s">
        <v>12</v>
      </c>
      <c r="E64" t="s">
        <v>29</v>
      </c>
      <c r="F64">
        <v>73</v>
      </c>
      <c r="G64">
        <v>148488.95000000001</v>
      </c>
      <c r="H64">
        <v>22</v>
      </c>
      <c r="I64">
        <v>77</v>
      </c>
      <c r="J64" t="str">
        <f>IF(PatientData[[#This Row],[Treatment Cost]]&gt;75000,"High Cost","Low Cost")</f>
        <v>High Cost</v>
      </c>
      <c r="K6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65" spans="1:11" x14ac:dyDescent="0.25">
      <c r="A65" t="s">
        <v>90</v>
      </c>
      <c r="B65" t="s">
        <v>31</v>
      </c>
      <c r="C65" t="s">
        <v>16</v>
      </c>
      <c r="D65" t="s">
        <v>12</v>
      </c>
      <c r="E65" t="s">
        <v>29</v>
      </c>
      <c r="F65">
        <v>5</v>
      </c>
      <c r="G65">
        <v>74239.37</v>
      </c>
      <c r="H65">
        <v>7</v>
      </c>
      <c r="I65">
        <v>61</v>
      </c>
      <c r="J65" t="str">
        <f>IF(PatientData[[#This Row],[Treatment Cost]]&gt;75000,"High Cost","Low Cost")</f>
        <v>Low Cost</v>
      </c>
      <c r="K65"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66" spans="1:11" x14ac:dyDescent="0.25">
      <c r="A66" t="s">
        <v>91</v>
      </c>
      <c r="B66" t="s">
        <v>22</v>
      </c>
      <c r="C66" t="s">
        <v>16</v>
      </c>
      <c r="D66" t="s">
        <v>32</v>
      </c>
      <c r="E66" t="s">
        <v>18</v>
      </c>
      <c r="F66">
        <v>6</v>
      </c>
      <c r="G66">
        <v>98732.94</v>
      </c>
      <c r="H66">
        <v>25</v>
      </c>
      <c r="I66">
        <v>45</v>
      </c>
      <c r="J66" t="str">
        <f>IF(PatientData[[#This Row],[Treatment Cost]]&gt;75000,"High Cost","Low Cost")</f>
        <v>High Cost</v>
      </c>
      <c r="K66"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67" spans="1:11" x14ac:dyDescent="0.25">
      <c r="A67" t="s">
        <v>92</v>
      </c>
      <c r="B67" t="s">
        <v>10</v>
      </c>
      <c r="C67" t="s">
        <v>11</v>
      </c>
      <c r="D67" t="s">
        <v>23</v>
      </c>
      <c r="E67" t="s">
        <v>13</v>
      </c>
      <c r="F67">
        <v>4</v>
      </c>
      <c r="G67">
        <v>66339.33</v>
      </c>
      <c r="H67">
        <v>5</v>
      </c>
      <c r="I67">
        <v>77</v>
      </c>
      <c r="J67" t="str">
        <f>IF(PatientData[[#This Row],[Treatment Cost]]&gt;75000,"High Cost","Low Cost")</f>
        <v>Low Cost</v>
      </c>
      <c r="K6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68" spans="1:11" x14ac:dyDescent="0.25">
      <c r="A68" t="s">
        <v>93</v>
      </c>
      <c r="B68" t="s">
        <v>10</v>
      </c>
      <c r="C68" t="s">
        <v>16</v>
      </c>
      <c r="D68" t="s">
        <v>32</v>
      </c>
      <c r="E68" t="s">
        <v>18</v>
      </c>
      <c r="F68">
        <v>14</v>
      </c>
      <c r="G68">
        <v>113363.27</v>
      </c>
      <c r="H68">
        <v>9</v>
      </c>
      <c r="I68">
        <v>74</v>
      </c>
      <c r="J68" t="str">
        <f>IF(PatientData[[#This Row],[Treatment Cost]]&gt;75000,"High Cost","Low Cost")</f>
        <v>High Cost</v>
      </c>
      <c r="K68"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69" spans="1:11" x14ac:dyDescent="0.25">
      <c r="A69" t="s">
        <v>94</v>
      </c>
      <c r="B69" t="s">
        <v>10</v>
      </c>
      <c r="C69" t="s">
        <v>16</v>
      </c>
      <c r="D69" t="s">
        <v>32</v>
      </c>
      <c r="E69" t="s">
        <v>13</v>
      </c>
      <c r="F69">
        <v>11</v>
      </c>
      <c r="G69">
        <v>24492.09</v>
      </c>
      <c r="H69">
        <v>8</v>
      </c>
      <c r="I69">
        <v>58</v>
      </c>
      <c r="J69" t="str">
        <f>IF(PatientData[[#This Row],[Treatment Cost]]&gt;75000,"High Cost","Low Cost")</f>
        <v>Low Cost</v>
      </c>
      <c r="K69"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70" spans="1:11" x14ac:dyDescent="0.25">
      <c r="A70" t="s">
        <v>95</v>
      </c>
      <c r="B70" t="s">
        <v>25</v>
      </c>
      <c r="C70" t="s">
        <v>16</v>
      </c>
      <c r="D70" t="s">
        <v>32</v>
      </c>
      <c r="E70" t="s">
        <v>13</v>
      </c>
      <c r="F70">
        <v>19</v>
      </c>
      <c r="G70">
        <v>42080.85</v>
      </c>
      <c r="H70">
        <v>29</v>
      </c>
      <c r="I70">
        <v>65</v>
      </c>
      <c r="J70" t="str">
        <f>IF(PatientData[[#This Row],[Treatment Cost]]&gt;75000,"High Cost","Low Cost")</f>
        <v>Low Cost</v>
      </c>
      <c r="K70"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71" spans="1:11" x14ac:dyDescent="0.25">
      <c r="A71" t="s">
        <v>96</v>
      </c>
      <c r="B71" t="s">
        <v>31</v>
      </c>
      <c r="C71" t="s">
        <v>16</v>
      </c>
      <c r="D71" t="s">
        <v>23</v>
      </c>
      <c r="E71" t="s">
        <v>29</v>
      </c>
      <c r="F71">
        <v>56</v>
      </c>
      <c r="G71">
        <v>147658.16</v>
      </c>
      <c r="H71">
        <v>11</v>
      </c>
      <c r="I71">
        <v>96</v>
      </c>
      <c r="J71" t="str">
        <f>IF(PatientData[[#This Row],[Treatment Cost]]&gt;75000,"High Cost","Low Cost")</f>
        <v>High Cost</v>
      </c>
      <c r="K7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72" spans="1:11" x14ac:dyDescent="0.25">
      <c r="A72" t="s">
        <v>97</v>
      </c>
      <c r="B72" t="s">
        <v>22</v>
      </c>
      <c r="C72" t="s">
        <v>16</v>
      </c>
      <c r="D72" t="s">
        <v>12</v>
      </c>
      <c r="E72" t="s">
        <v>13</v>
      </c>
      <c r="F72">
        <v>40</v>
      </c>
      <c r="G72">
        <v>79386.600000000006</v>
      </c>
      <c r="H72">
        <v>21</v>
      </c>
      <c r="I72">
        <v>67</v>
      </c>
      <c r="J72" t="str">
        <f>IF(PatientData[[#This Row],[Treatment Cost]]&gt;75000,"High Cost","Low Cost")</f>
        <v>High Cost</v>
      </c>
      <c r="K7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73" spans="1:11" x14ac:dyDescent="0.25">
      <c r="A73" t="s">
        <v>98</v>
      </c>
      <c r="B73" t="s">
        <v>36</v>
      </c>
      <c r="C73" t="s">
        <v>41</v>
      </c>
      <c r="D73" t="s">
        <v>17</v>
      </c>
      <c r="E73" t="s">
        <v>18</v>
      </c>
      <c r="F73">
        <v>6</v>
      </c>
      <c r="G73">
        <v>22175.37</v>
      </c>
      <c r="H73">
        <v>17</v>
      </c>
      <c r="I73">
        <v>82</v>
      </c>
      <c r="J73" t="str">
        <f>IF(PatientData[[#This Row],[Treatment Cost]]&gt;75000,"High Cost","Low Cost")</f>
        <v>Low Cost</v>
      </c>
      <c r="K73"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74" spans="1:11" x14ac:dyDescent="0.25">
      <c r="A74" t="s">
        <v>99</v>
      </c>
      <c r="B74" t="s">
        <v>31</v>
      </c>
      <c r="C74" t="s">
        <v>28</v>
      </c>
      <c r="D74" t="s">
        <v>12</v>
      </c>
      <c r="E74" t="s">
        <v>29</v>
      </c>
      <c r="F74">
        <v>62</v>
      </c>
      <c r="G74">
        <v>16296.15</v>
      </c>
      <c r="H74">
        <v>28</v>
      </c>
      <c r="I74">
        <v>63</v>
      </c>
      <c r="J74" t="str">
        <f>IF(PatientData[[#This Row],[Treatment Cost]]&gt;75000,"High Cost","Low Cost")</f>
        <v>Low Cost</v>
      </c>
      <c r="K7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75" spans="1:11" x14ac:dyDescent="0.25">
      <c r="A75" t="s">
        <v>100</v>
      </c>
      <c r="B75" t="s">
        <v>31</v>
      </c>
      <c r="C75" t="s">
        <v>41</v>
      </c>
      <c r="D75" t="s">
        <v>12</v>
      </c>
      <c r="E75" t="s">
        <v>29</v>
      </c>
      <c r="F75">
        <v>56</v>
      </c>
      <c r="G75">
        <v>120488.57</v>
      </c>
      <c r="H75">
        <v>30</v>
      </c>
      <c r="I75">
        <v>48</v>
      </c>
      <c r="J75" t="str">
        <f>IF(PatientData[[#This Row],[Treatment Cost]]&gt;75000,"High Cost","Low Cost")</f>
        <v>High Cost</v>
      </c>
      <c r="K75"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76" spans="1:11" x14ac:dyDescent="0.25">
      <c r="A76" t="s">
        <v>101</v>
      </c>
      <c r="B76" t="s">
        <v>22</v>
      </c>
      <c r="C76" t="s">
        <v>28</v>
      </c>
      <c r="D76" t="s">
        <v>12</v>
      </c>
      <c r="E76" t="s">
        <v>13</v>
      </c>
      <c r="F76">
        <v>8</v>
      </c>
      <c r="G76">
        <v>111873.66</v>
      </c>
      <c r="H76">
        <v>16</v>
      </c>
      <c r="I76">
        <v>74</v>
      </c>
      <c r="J76" t="str">
        <f>IF(PatientData[[#This Row],[Treatment Cost]]&gt;75000,"High Cost","Low Cost")</f>
        <v>High Cost</v>
      </c>
      <c r="K76"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77" spans="1:11" x14ac:dyDescent="0.25">
      <c r="A77" t="s">
        <v>102</v>
      </c>
      <c r="B77" t="s">
        <v>22</v>
      </c>
      <c r="C77" t="s">
        <v>16</v>
      </c>
      <c r="D77" t="s">
        <v>23</v>
      </c>
      <c r="E77" t="s">
        <v>18</v>
      </c>
      <c r="F77">
        <v>62</v>
      </c>
      <c r="G77">
        <v>27610.65</v>
      </c>
      <c r="H77">
        <v>26</v>
      </c>
      <c r="I77">
        <v>72</v>
      </c>
      <c r="J77" t="str">
        <f>IF(PatientData[[#This Row],[Treatment Cost]]&gt;75000,"High Cost","Low Cost")</f>
        <v>Low Cost</v>
      </c>
      <c r="K77"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78" spans="1:11" x14ac:dyDescent="0.25">
      <c r="A78" t="s">
        <v>103</v>
      </c>
      <c r="B78" t="s">
        <v>22</v>
      </c>
      <c r="C78" t="s">
        <v>41</v>
      </c>
      <c r="D78" t="s">
        <v>32</v>
      </c>
      <c r="E78" t="s">
        <v>29</v>
      </c>
      <c r="F78">
        <v>17</v>
      </c>
      <c r="G78">
        <v>142458.98000000001</v>
      </c>
      <c r="H78">
        <v>6</v>
      </c>
      <c r="I78">
        <v>69</v>
      </c>
      <c r="J78" t="str">
        <f>IF(PatientData[[#This Row],[Treatment Cost]]&gt;75000,"High Cost","Low Cost")</f>
        <v>High Cost</v>
      </c>
      <c r="K78"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79" spans="1:11" x14ac:dyDescent="0.25">
      <c r="A79" t="s">
        <v>104</v>
      </c>
      <c r="B79" t="s">
        <v>22</v>
      </c>
      <c r="C79" t="s">
        <v>11</v>
      </c>
      <c r="D79" t="s">
        <v>23</v>
      </c>
      <c r="E79" t="s">
        <v>29</v>
      </c>
      <c r="F79">
        <v>7</v>
      </c>
      <c r="G79">
        <v>23799.83</v>
      </c>
      <c r="H79">
        <v>26</v>
      </c>
      <c r="I79">
        <v>52</v>
      </c>
      <c r="J79" t="str">
        <f>IF(PatientData[[#This Row],[Treatment Cost]]&gt;75000,"High Cost","Low Cost")</f>
        <v>Low Cost</v>
      </c>
      <c r="K79"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80" spans="1:11" x14ac:dyDescent="0.25">
      <c r="A80" t="s">
        <v>105</v>
      </c>
      <c r="B80" t="s">
        <v>36</v>
      </c>
      <c r="C80" t="s">
        <v>41</v>
      </c>
      <c r="D80" t="s">
        <v>12</v>
      </c>
      <c r="E80" t="s">
        <v>29</v>
      </c>
      <c r="F80">
        <v>49</v>
      </c>
      <c r="G80">
        <v>117019.47</v>
      </c>
      <c r="H80">
        <v>28</v>
      </c>
      <c r="I80">
        <v>63</v>
      </c>
      <c r="J80" t="str">
        <f>IF(PatientData[[#This Row],[Treatment Cost]]&gt;75000,"High Cost","Low Cost")</f>
        <v>High Cost</v>
      </c>
      <c r="K80"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81" spans="1:11" x14ac:dyDescent="0.25">
      <c r="A81" t="s">
        <v>106</v>
      </c>
      <c r="B81" t="s">
        <v>36</v>
      </c>
      <c r="C81" t="s">
        <v>11</v>
      </c>
      <c r="D81" t="s">
        <v>32</v>
      </c>
      <c r="E81" t="s">
        <v>29</v>
      </c>
      <c r="F81">
        <v>12</v>
      </c>
      <c r="G81">
        <v>69472.05</v>
      </c>
      <c r="H81">
        <v>11</v>
      </c>
      <c r="I81">
        <v>68</v>
      </c>
      <c r="J81" t="str">
        <f>IF(PatientData[[#This Row],[Treatment Cost]]&gt;75000,"High Cost","Low Cost")</f>
        <v>Low Cost</v>
      </c>
      <c r="K81"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82" spans="1:11" x14ac:dyDescent="0.25">
      <c r="A82" t="s">
        <v>107</v>
      </c>
      <c r="B82" t="s">
        <v>25</v>
      </c>
      <c r="C82" t="s">
        <v>11</v>
      </c>
      <c r="D82" t="s">
        <v>32</v>
      </c>
      <c r="E82" t="s">
        <v>13</v>
      </c>
      <c r="F82">
        <v>5</v>
      </c>
      <c r="G82">
        <v>64103.040000000001</v>
      </c>
      <c r="H82">
        <v>14</v>
      </c>
      <c r="I82">
        <v>42</v>
      </c>
      <c r="J82" t="str">
        <f>IF(PatientData[[#This Row],[Treatment Cost]]&gt;75000,"High Cost","Low Cost")</f>
        <v>Low Cost</v>
      </c>
      <c r="K82"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83" spans="1:11" x14ac:dyDescent="0.25">
      <c r="A83" t="s">
        <v>108</v>
      </c>
      <c r="B83" t="s">
        <v>22</v>
      </c>
      <c r="C83" t="s">
        <v>11</v>
      </c>
      <c r="D83" t="s">
        <v>12</v>
      </c>
      <c r="E83" t="s">
        <v>29</v>
      </c>
      <c r="F83">
        <v>13</v>
      </c>
      <c r="G83">
        <v>137441.75</v>
      </c>
      <c r="H83">
        <v>23</v>
      </c>
      <c r="I83">
        <v>74</v>
      </c>
      <c r="J83" t="str">
        <f>IF(PatientData[[#This Row],[Treatment Cost]]&gt;75000,"High Cost","Low Cost")</f>
        <v>High Cost</v>
      </c>
      <c r="K83"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84" spans="1:11" x14ac:dyDescent="0.25">
      <c r="A84" t="s">
        <v>109</v>
      </c>
      <c r="B84" t="s">
        <v>25</v>
      </c>
      <c r="C84" t="s">
        <v>11</v>
      </c>
      <c r="D84" t="s">
        <v>23</v>
      </c>
      <c r="E84" t="s">
        <v>13</v>
      </c>
      <c r="F84">
        <v>71</v>
      </c>
      <c r="G84">
        <v>11066.61</v>
      </c>
      <c r="H84">
        <v>17</v>
      </c>
      <c r="I84">
        <v>86</v>
      </c>
      <c r="J84" t="str">
        <f>IF(PatientData[[#This Row],[Treatment Cost]]&gt;75000,"High Cost","Low Cost")</f>
        <v>Low Cost</v>
      </c>
      <c r="K8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85" spans="1:11" x14ac:dyDescent="0.25">
      <c r="A85" t="s">
        <v>110</v>
      </c>
      <c r="B85" t="s">
        <v>31</v>
      </c>
      <c r="C85" t="s">
        <v>16</v>
      </c>
      <c r="D85" t="s">
        <v>26</v>
      </c>
      <c r="E85" t="s">
        <v>13</v>
      </c>
      <c r="F85">
        <v>87</v>
      </c>
      <c r="G85">
        <v>36726.76</v>
      </c>
      <c r="H85">
        <v>4</v>
      </c>
      <c r="I85">
        <v>53</v>
      </c>
      <c r="J85" t="str">
        <f>IF(PatientData[[#This Row],[Treatment Cost]]&gt;75000,"High Cost","Low Cost")</f>
        <v>Low Cost</v>
      </c>
      <c r="K85"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86" spans="1:11" x14ac:dyDescent="0.25">
      <c r="A86" t="s">
        <v>111</v>
      </c>
      <c r="B86" t="s">
        <v>15</v>
      </c>
      <c r="C86" t="s">
        <v>16</v>
      </c>
      <c r="D86" t="s">
        <v>17</v>
      </c>
      <c r="E86" t="s">
        <v>29</v>
      </c>
      <c r="F86">
        <v>40</v>
      </c>
      <c r="G86">
        <v>19717.900000000001</v>
      </c>
      <c r="H86">
        <v>20</v>
      </c>
      <c r="I86">
        <v>63</v>
      </c>
      <c r="J86" t="str">
        <f>IF(PatientData[[#This Row],[Treatment Cost]]&gt;75000,"High Cost","Low Cost")</f>
        <v>Low Cost</v>
      </c>
      <c r="K8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87" spans="1:11" x14ac:dyDescent="0.25">
      <c r="A87" t="s">
        <v>112</v>
      </c>
      <c r="B87" t="s">
        <v>36</v>
      </c>
      <c r="C87" t="s">
        <v>16</v>
      </c>
      <c r="D87" t="s">
        <v>26</v>
      </c>
      <c r="E87" t="s">
        <v>29</v>
      </c>
      <c r="F87">
        <v>63</v>
      </c>
      <c r="G87">
        <v>82657.039999999994</v>
      </c>
      <c r="H87">
        <v>4</v>
      </c>
      <c r="I87">
        <v>55</v>
      </c>
      <c r="J87" t="str">
        <f>IF(PatientData[[#This Row],[Treatment Cost]]&gt;75000,"High Cost","Low Cost")</f>
        <v>High Cost</v>
      </c>
      <c r="K87"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88" spans="1:11" x14ac:dyDescent="0.25">
      <c r="A88" t="s">
        <v>113</v>
      </c>
      <c r="B88" t="s">
        <v>15</v>
      </c>
      <c r="C88" t="s">
        <v>16</v>
      </c>
      <c r="D88" t="s">
        <v>17</v>
      </c>
      <c r="E88" t="s">
        <v>29</v>
      </c>
      <c r="F88">
        <v>1</v>
      </c>
      <c r="G88">
        <v>16874.009999999998</v>
      </c>
      <c r="H88">
        <v>14</v>
      </c>
      <c r="I88">
        <v>76</v>
      </c>
      <c r="J88" t="str">
        <f>IF(PatientData[[#This Row],[Treatment Cost]]&gt;75000,"High Cost","Low Cost")</f>
        <v>Low Cost</v>
      </c>
      <c r="K88"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89" spans="1:11" x14ac:dyDescent="0.25">
      <c r="A89" t="s">
        <v>114</v>
      </c>
      <c r="B89" t="s">
        <v>15</v>
      </c>
      <c r="C89" t="s">
        <v>41</v>
      </c>
      <c r="D89" t="s">
        <v>12</v>
      </c>
      <c r="E89" t="s">
        <v>18</v>
      </c>
      <c r="F89">
        <v>37</v>
      </c>
      <c r="G89">
        <v>8578.83</v>
      </c>
      <c r="H89">
        <v>2</v>
      </c>
      <c r="I89">
        <v>90</v>
      </c>
      <c r="J89" t="str">
        <f>IF(PatientData[[#This Row],[Treatment Cost]]&gt;75000,"High Cost","Low Cost")</f>
        <v>Low Cost</v>
      </c>
      <c r="K8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90" spans="1:11" x14ac:dyDescent="0.25">
      <c r="A90" t="s">
        <v>115</v>
      </c>
      <c r="B90" t="s">
        <v>36</v>
      </c>
      <c r="C90" t="s">
        <v>11</v>
      </c>
      <c r="D90" t="s">
        <v>17</v>
      </c>
      <c r="E90" t="s">
        <v>18</v>
      </c>
      <c r="F90">
        <v>7</v>
      </c>
      <c r="G90">
        <v>22311.39</v>
      </c>
      <c r="H90">
        <v>14</v>
      </c>
      <c r="I90">
        <v>86</v>
      </c>
      <c r="J90" t="str">
        <f>IF(PatientData[[#This Row],[Treatment Cost]]&gt;75000,"High Cost","Low Cost")</f>
        <v>Low Cost</v>
      </c>
      <c r="K90"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91" spans="1:11" x14ac:dyDescent="0.25">
      <c r="A91" t="s">
        <v>116</v>
      </c>
      <c r="B91" t="s">
        <v>25</v>
      </c>
      <c r="C91" t="s">
        <v>41</v>
      </c>
      <c r="D91" t="s">
        <v>12</v>
      </c>
      <c r="E91" t="s">
        <v>29</v>
      </c>
      <c r="F91">
        <v>46</v>
      </c>
      <c r="G91">
        <v>128560.01</v>
      </c>
      <c r="H91">
        <v>7</v>
      </c>
      <c r="I91">
        <v>52</v>
      </c>
      <c r="J91" t="str">
        <f>IF(PatientData[[#This Row],[Treatment Cost]]&gt;75000,"High Cost","Low Cost")</f>
        <v>High Cost</v>
      </c>
      <c r="K9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92" spans="1:11" x14ac:dyDescent="0.25">
      <c r="A92" t="s">
        <v>117</v>
      </c>
      <c r="B92" t="s">
        <v>31</v>
      </c>
      <c r="C92" t="s">
        <v>11</v>
      </c>
      <c r="D92" t="s">
        <v>23</v>
      </c>
      <c r="E92" t="s">
        <v>29</v>
      </c>
      <c r="F92">
        <v>30</v>
      </c>
      <c r="G92">
        <v>147742.63</v>
      </c>
      <c r="H92">
        <v>28</v>
      </c>
      <c r="I92">
        <v>62</v>
      </c>
      <c r="J92" t="str">
        <f>IF(PatientData[[#This Row],[Treatment Cost]]&gt;75000,"High Cost","Low Cost")</f>
        <v>High Cost</v>
      </c>
      <c r="K9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93" spans="1:11" x14ac:dyDescent="0.25">
      <c r="A93" t="s">
        <v>118</v>
      </c>
      <c r="B93" t="s">
        <v>15</v>
      </c>
      <c r="C93" t="s">
        <v>11</v>
      </c>
      <c r="D93" t="s">
        <v>17</v>
      </c>
      <c r="E93" t="s">
        <v>29</v>
      </c>
      <c r="F93">
        <v>66</v>
      </c>
      <c r="G93">
        <v>54562.1</v>
      </c>
      <c r="H93">
        <v>21</v>
      </c>
      <c r="I93">
        <v>86</v>
      </c>
      <c r="J93" t="str">
        <f>IF(PatientData[[#This Row],[Treatment Cost]]&gt;75000,"High Cost","Low Cost")</f>
        <v>Low Cost</v>
      </c>
      <c r="K9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94" spans="1:11" x14ac:dyDescent="0.25">
      <c r="A94" t="s">
        <v>119</v>
      </c>
      <c r="B94" t="s">
        <v>36</v>
      </c>
      <c r="C94" t="s">
        <v>28</v>
      </c>
      <c r="D94" t="s">
        <v>23</v>
      </c>
      <c r="E94" t="s">
        <v>29</v>
      </c>
      <c r="F94">
        <v>1</v>
      </c>
      <c r="G94">
        <v>146289.26999999999</v>
      </c>
      <c r="H94">
        <v>17</v>
      </c>
      <c r="I94">
        <v>47</v>
      </c>
      <c r="J94" t="str">
        <f>IF(PatientData[[#This Row],[Treatment Cost]]&gt;75000,"High Cost","Low Cost")</f>
        <v>High Cost</v>
      </c>
      <c r="K94"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95" spans="1:11" x14ac:dyDescent="0.25">
      <c r="A95" t="s">
        <v>120</v>
      </c>
      <c r="B95" t="s">
        <v>31</v>
      </c>
      <c r="C95" t="s">
        <v>41</v>
      </c>
      <c r="D95" t="s">
        <v>32</v>
      </c>
      <c r="E95" t="s">
        <v>29</v>
      </c>
      <c r="F95">
        <v>89</v>
      </c>
      <c r="G95">
        <v>128840.81</v>
      </c>
      <c r="H95">
        <v>22</v>
      </c>
      <c r="I95">
        <v>81</v>
      </c>
      <c r="J95" t="str">
        <f>IF(PatientData[[#This Row],[Treatment Cost]]&gt;75000,"High Cost","Low Cost")</f>
        <v>High Cost</v>
      </c>
      <c r="K95"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96" spans="1:11" x14ac:dyDescent="0.25">
      <c r="A96" t="s">
        <v>121</v>
      </c>
      <c r="B96" t="s">
        <v>22</v>
      </c>
      <c r="C96" t="s">
        <v>16</v>
      </c>
      <c r="D96" t="s">
        <v>17</v>
      </c>
      <c r="E96" t="s">
        <v>29</v>
      </c>
      <c r="F96">
        <v>48</v>
      </c>
      <c r="G96">
        <v>19629.22</v>
      </c>
      <c r="H96">
        <v>2</v>
      </c>
      <c r="I96">
        <v>95</v>
      </c>
      <c r="J96" t="str">
        <f>IF(PatientData[[#This Row],[Treatment Cost]]&gt;75000,"High Cost","Low Cost")</f>
        <v>Low Cost</v>
      </c>
      <c r="K96"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97" spans="1:11" x14ac:dyDescent="0.25">
      <c r="A97" t="s">
        <v>122</v>
      </c>
      <c r="B97" t="s">
        <v>31</v>
      </c>
      <c r="C97" t="s">
        <v>28</v>
      </c>
      <c r="D97" t="s">
        <v>32</v>
      </c>
      <c r="E97" t="s">
        <v>13</v>
      </c>
      <c r="F97">
        <v>59</v>
      </c>
      <c r="G97">
        <v>73629.03</v>
      </c>
      <c r="H97">
        <v>10</v>
      </c>
      <c r="I97">
        <v>85</v>
      </c>
      <c r="J97" t="str">
        <f>IF(PatientData[[#This Row],[Treatment Cost]]&gt;75000,"High Cost","Low Cost")</f>
        <v>Low Cost</v>
      </c>
      <c r="K97"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98" spans="1:11" x14ac:dyDescent="0.25">
      <c r="A98" t="s">
        <v>123</v>
      </c>
      <c r="B98" t="s">
        <v>25</v>
      </c>
      <c r="C98" t="s">
        <v>16</v>
      </c>
      <c r="D98" t="s">
        <v>32</v>
      </c>
      <c r="E98" t="s">
        <v>29</v>
      </c>
      <c r="F98">
        <v>54</v>
      </c>
      <c r="G98">
        <v>100747.7</v>
      </c>
      <c r="H98">
        <v>12</v>
      </c>
      <c r="I98">
        <v>74</v>
      </c>
      <c r="J98" t="str">
        <f>IF(PatientData[[#This Row],[Treatment Cost]]&gt;75000,"High Cost","Low Cost")</f>
        <v>High Cost</v>
      </c>
      <c r="K98"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99" spans="1:11" x14ac:dyDescent="0.25">
      <c r="A99" t="s">
        <v>124</v>
      </c>
      <c r="B99" t="s">
        <v>15</v>
      </c>
      <c r="C99" t="s">
        <v>11</v>
      </c>
      <c r="D99" t="s">
        <v>12</v>
      </c>
      <c r="E99" t="s">
        <v>29</v>
      </c>
      <c r="F99">
        <v>35</v>
      </c>
      <c r="G99">
        <v>85523.17</v>
      </c>
      <c r="H99">
        <v>30</v>
      </c>
      <c r="I99">
        <v>90</v>
      </c>
      <c r="J99" t="str">
        <f>IF(PatientData[[#This Row],[Treatment Cost]]&gt;75000,"High Cost","Low Cost")</f>
        <v>High Cost</v>
      </c>
      <c r="K9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00" spans="1:11" x14ac:dyDescent="0.25">
      <c r="A100" t="s">
        <v>125</v>
      </c>
      <c r="B100" t="s">
        <v>31</v>
      </c>
      <c r="C100" t="s">
        <v>16</v>
      </c>
      <c r="D100" t="s">
        <v>23</v>
      </c>
      <c r="E100" t="s">
        <v>29</v>
      </c>
      <c r="F100">
        <v>33</v>
      </c>
      <c r="G100">
        <v>79151.14</v>
      </c>
      <c r="H100">
        <v>2</v>
      </c>
      <c r="I100">
        <v>56</v>
      </c>
      <c r="J100" t="str">
        <f>IF(PatientData[[#This Row],[Treatment Cost]]&gt;75000,"High Cost","Low Cost")</f>
        <v>High Cost</v>
      </c>
      <c r="K100"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01" spans="1:11" x14ac:dyDescent="0.25">
      <c r="A101" t="s">
        <v>126</v>
      </c>
      <c r="B101" t="s">
        <v>36</v>
      </c>
      <c r="C101" t="s">
        <v>11</v>
      </c>
      <c r="D101" t="s">
        <v>23</v>
      </c>
      <c r="E101" t="s">
        <v>13</v>
      </c>
      <c r="F101">
        <v>30</v>
      </c>
      <c r="G101">
        <v>115395.67</v>
      </c>
      <c r="H101">
        <v>11</v>
      </c>
      <c r="I101">
        <v>74</v>
      </c>
      <c r="J101" t="str">
        <f>IF(PatientData[[#This Row],[Treatment Cost]]&gt;75000,"High Cost","Low Cost")</f>
        <v>High Cost</v>
      </c>
      <c r="K101"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02" spans="1:11" x14ac:dyDescent="0.25">
      <c r="A102" t="s">
        <v>127</v>
      </c>
      <c r="B102" t="s">
        <v>22</v>
      </c>
      <c r="C102" t="s">
        <v>28</v>
      </c>
      <c r="D102" t="s">
        <v>12</v>
      </c>
      <c r="E102" t="s">
        <v>13</v>
      </c>
      <c r="F102">
        <v>60</v>
      </c>
      <c r="G102">
        <v>49131.44</v>
      </c>
      <c r="H102">
        <v>2</v>
      </c>
      <c r="I102">
        <v>44</v>
      </c>
      <c r="J102" t="str">
        <f>IF(PatientData[[#This Row],[Treatment Cost]]&gt;75000,"High Cost","Low Cost")</f>
        <v>Low Cost</v>
      </c>
      <c r="K102"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03" spans="1:11" x14ac:dyDescent="0.25">
      <c r="A103" t="s">
        <v>128</v>
      </c>
      <c r="B103" t="s">
        <v>31</v>
      </c>
      <c r="C103" t="s">
        <v>11</v>
      </c>
      <c r="D103" t="s">
        <v>23</v>
      </c>
      <c r="E103" t="s">
        <v>29</v>
      </c>
      <c r="F103">
        <v>70</v>
      </c>
      <c r="G103">
        <v>58132.5</v>
      </c>
      <c r="H103">
        <v>25</v>
      </c>
      <c r="I103">
        <v>43</v>
      </c>
      <c r="J103" t="str">
        <f>IF(PatientData[[#This Row],[Treatment Cost]]&gt;75000,"High Cost","Low Cost")</f>
        <v>Low Cost</v>
      </c>
      <c r="K10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04" spans="1:11" x14ac:dyDescent="0.25">
      <c r="A104" t="s">
        <v>129</v>
      </c>
      <c r="B104" t="s">
        <v>36</v>
      </c>
      <c r="C104" t="s">
        <v>41</v>
      </c>
      <c r="D104" t="s">
        <v>12</v>
      </c>
      <c r="E104" t="s">
        <v>13</v>
      </c>
      <c r="F104">
        <v>6</v>
      </c>
      <c r="G104">
        <v>77311.77</v>
      </c>
      <c r="H104">
        <v>19</v>
      </c>
      <c r="I104">
        <v>90</v>
      </c>
      <c r="J104" t="str">
        <f>IF(PatientData[[#This Row],[Treatment Cost]]&gt;75000,"High Cost","Low Cost")</f>
        <v>High Cost</v>
      </c>
      <c r="K104"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05" spans="1:11" x14ac:dyDescent="0.25">
      <c r="A105" t="s">
        <v>130</v>
      </c>
      <c r="B105" t="s">
        <v>25</v>
      </c>
      <c r="C105" t="s">
        <v>28</v>
      </c>
      <c r="D105" t="s">
        <v>32</v>
      </c>
      <c r="E105" t="s">
        <v>29</v>
      </c>
      <c r="F105">
        <v>70</v>
      </c>
      <c r="G105">
        <v>14270.62</v>
      </c>
      <c r="H105">
        <v>24</v>
      </c>
      <c r="I105">
        <v>43</v>
      </c>
      <c r="J105" t="str">
        <f>IF(PatientData[[#This Row],[Treatment Cost]]&gt;75000,"High Cost","Low Cost")</f>
        <v>Low Cost</v>
      </c>
      <c r="K105"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06" spans="1:11" x14ac:dyDescent="0.25">
      <c r="A106" t="s">
        <v>131</v>
      </c>
      <c r="B106" t="s">
        <v>15</v>
      </c>
      <c r="C106" t="s">
        <v>28</v>
      </c>
      <c r="D106" t="s">
        <v>26</v>
      </c>
      <c r="E106" t="s">
        <v>13</v>
      </c>
      <c r="F106">
        <v>52</v>
      </c>
      <c r="G106">
        <v>97685.72</v>
      </c>
      <c r="H106">
        <v>28</v>
      </c>
      <c r="I106">
        <v>59</v>
      </c>
      <c r="J106" t="str">
        <f>IF(PatientData[[#This Row],[Treatment Cost]]&gt;75000,"High Cost","Low Cost")</f>
        <v>High Cost</v>
      </c>
      <c r="K106"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07" spans="1:11" x14ac:dyDescent="0.25">
      <c r="A107" t="s">
        <v>132</v>
      </c>
      <c r="B107" t="s">
        <v>10</v>
      </c>
      <c r="C107" t="s">
        <v>16</v>
      </c>
      <c r="D107" t="s">
        <v>23</v>
      </c>
      <c r="E107" t="s">
        <v>18</v>
      </c>
      <c r="F107">
        <v>64</v>
      </c>
      <c r="G107">
        <v>142687.47</v>
      </c>
      <c r="H107">
        <v>27</v>
      </c>
      <c r="I107">
        <v>80</v>
      </c>
      <c r="J107" t="str">
        <f>IF(PatientData[[#This Row],[Treatment Cost]]&gt;75000,"High Cost","Low Cost")</f>
        <v>High Cost</v>
      </c>
      <c r="K107"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08" spans="1:11" x14ac:dyDescent="0.25">
      <c r="A108" t="s">
        <v>133</v>
      </c>
      <c r="B108" t="s">
        <v>31</v>
      </c>
      <c r="C108" t="s">
        <v>28</v>
      </c>
      <c r="D108" t="s">
        <v>17</v>
      </c>
      <c r="E108" t="s">
        <v>29</v>
      </c>
      <c r="F108">
        <v>35</v>
      </c>
      <c r="G108">
        <v>36754.51</v>
      </c>
      <c r="H108">
        <v>27</v>
      </c>
      <c r="I108">
        <v>49</v>
      </c>
      <c r="J108" t="str">
        <f>IF(PatientData[[#This Row],[Treatment Cost]]&gt;75000,"High Cost","Low Cost")</f>
        <v>Low Cost</v>
      </c>
      <c r="K108"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09" spans="1:11" x14ac:dyDescent="0.25">
      <c r="A109" t="s">
        <v>134</v>
      </c>
      <c r="B109" t="s">
        <v>15</v>
      </c>
      <c r="C109" t="s">
        <v>16</v>
      </c>
      <c r="D109" t="s">
        <v>17</v>
      </c>
      <c r="E109" t="s">
        <v>29</v>
      </c>
      <c r="F109">
        <v>62</v>
      </c>
      <c r="G109">
        <v>34938.57</v>
      </c>
      <c r="H109">
        <v>8</v>
      </c>
      <c r="I109">
        <v>70</v>
      </c>
      <c r="J109" t="str">
        <f>IF(PatientData[[#This Row],[Treatment Cost]]&gt;75000,"High Cost","Low Cost")</f>
        <v>Low Cost</v>
      </c>
      <c r="K109"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10" spans="1:11" x14ac:dyDescent="0.25">
      <c r="A110" t="s">
        <v>135</v>
      </c>
      <c r="B110" t="s">
        <v>22</v>
      </c>
      <c r="C110" t="s">
        <v>28</v>
      </c>
      <c r="D110" t="s">
        <v>12</v>
      </c>
      <c r="E110" t="s">
        <v>13</v>
      </c>
      <c r="F110">
        <v>22</v>
      </c>
      <c r="G110">
        <v>97228.49</v>
      </c>
      <c r="H110">
        <v>7</v>
      </c>
      <c r="I110">
        <v>60</v>
      </c>
      <c r="J110" t="str">
        <f>IF(PatientData[[#This Row],[Treatment Cost]]&gt;75000,"High Cost","Low Cost")</f>
        <v>High Cost</v>
      </c>
      <c r="K110"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11" spans="1:11" x14ac:dyDescent="0.25">
      <c r="A111" t="s">
        <v>136</v>
      </c>
      <c r="B111" t="s">
        <v>25</v>
      </c>
      <c r="C111" t="s">
        <v>28</v>
      </c>
      <c r="D111" t="s">
        <v>17</v>
      </c>
      <c r="E111" t="s">
        <v>13</v>
      </c>
      <c r="F111">
        <v>42</v>
      </c>
      <c r="G111">
        <v>91441.1</v>
      </c>
      <c r="H111">
        <v>22</v>
      </c>
      <c r="I111">
        <v>84</v>
      </c>
      <c r="J111" t="str">
        <f>IF(PatientData[[#This Row],[Treatment Cost]]&gt;75000,"High Cost","Low Cost")</f>
        <v>High Cost</v>
      </c>
      <c r="K111"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12" spans="1:11" x14ac:dyDescent="0.25">
      <c r="A112" t="s">
        <v>137</v>
      </c>
      <c r="B112" t="s">
        <v>10</v>
      </c>
      <c r="C112" t="s">
        <v>41</v>
      </c>
      <c r="D112" t="s">
        <v>32</v>
      </c>
      <c r="E112" t="s">
        <v>13</v>
      </c>
      <c r="F112">
        <v>24</v>
      </c>
      <c r="G112">
        <v>139624.06</v>
      </c>
      <c r="H112">
        <v>5</v>
      </c>
      <c r="I112">
        <v>55</v>
      </c>
      <c r="J112" t="str">
        <f>IF(PatientData[[#This Row],[Treatment Cost]]&gt;75000,"High Cost","Low Cost")</f>
        <v>High Cost</v>
      </c>
      <c r="K112"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13" spans="1:11" x14ac:dyDescent="0.25">
      <c r="A113" t="s">
        <v>138</v>
      </c>
      <c r="B113" t="s">
        <v>25</v>
      </c>
      <c r="C113" t="s">
        <v>16</v>
      </c>
      <c r="D113" t="s">
        <v>12</v>
      </c>
      <c r="E113" t="s">
        <v>29</v>
      </c>
      <c r="F113">
        <v>17</v>
      </c>
      <c r="G113">
        <v>86650.5</v>
      </c>
      <c r="H113">
        <v>3</v>
      </c>
      <c r="I113">
        <v>53</v>
      </c>
      <c r="J113" t="str">
        <f>IF(PatientData[[#This Row],[Treatment Cost]]&gt;75000,"High Cost","Low Cost")</f>
        <v>High Cost</v>
      </c>
      <c r="K113"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114" spans="1:11" x14ac:dyDescent="0.25">
      <c r="A114" t="s">
        <v>139</v>
      </c>
      <c r="B114" t="s">
        <v>31</v>
      </c>
      <c r="C114" t="s">
        <v>11</v>
      </c>
      <c r="D114" t="s">
        <v>17</v>
      </c>
      <c r="E114" t="s">
        <v>18</v>
      </c>
      <c r="F114">
        <v>75</v>
      </c>
      <c r="G114">
        <v>85517.09</v>
      </c>
      <c r="H114">
        <v>6</v>
      </c>
      <c r="I114">
        <v>79</v>
      </c>
      <c r="J114" t="str">
        <f>IF(PatientData[[#This Row],[Treatment Cost]]&gt;75000,"High Cost","Low Cost")</f>
        <v>High Cost</v>
      </c>
      <c r="K114"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15" spans="1:11" x14ac:dyDescent="0.25">
      <c r="A115" t="s">
        <v>140</v>
      </c>
      <c r="B115" t="s">
        <v>10</v>
      </c>
      <c r="C115" t="s">
        <v>11</v>
      </c>
      <c r="D115" t="s">
        <v>17</v>
      </c>
      <c r="E115" t="s">
        <v>13</v>
      </c>
      <c r="F115">
        <v>47</v>
      </c>
      <c r="G115">
        <v>134120.62</v>
      </c>
      <c r="H115">
        <v>11</v>
      </c>
      <c r="I115">
        <v>92</v>
      </c>
      <c r="J115" t="str">
        <f>IF(PatientData[[#This Row],[Treatment Cost]]&gt;75000,"High Cost","Low Cost")</f>
        <v>High Cost</v>
      </c>
      <c r="K115"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16" spans="1:11" x14ac:dyDescent="0.25">
      <c r="A116" t="s">
        <v>141</v>
      </c>
      <c r="B116" t="s">
        <v>22</v>
      </c>
      <c r="C116" t="s">
        <v>41</v>
      </c>
      <c r="D116" t="s">
        <v>23</v>
      </c>
      <c r="E116" t="s">
        <v>29</v>
      </c>
      <c r="F116">
        <v>81</v>
      </c>
      <c r="G116">
        <v>22593.06</v>
      </c>
      <c r="H116">
        <v>6</v>
      </c>
      <c r="I116">
        <v>67</v>
      </c>
      <c r="J116" t="str">
        <f>IF(PatientData[[#This Row],[Treatment Cost]]&gt;75000,"High Cost","Low Cost")</f>
        <v>Low Cost</v>
      </c>
      <c r="K116"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17" spans="1:11" x14ac:dyDescent="0.25">
      <c r="A117" t="s">
        <v>142</v>
      </c>
      <c r="B117" t="s">
        <v>10</v>
      </c>
      <c r="C117" t="s">
        <v>28</v>
      </c>
      <c r="D117" t="s">
        <v>23</v>
      </c>
      <c r="E117" t="s">
        <v>18</v>
      </c>
      <c r="F117">
        <v>20</v>
      </c>
      <c r="G117">
        <v>88741.64</v>
      </c>
      <c r="H117">
        <v>26</v>
      </c>
      <c r="I117">
        <v>99</v>
      </c>
      <c r="J117" t="str">
        <f>IF(PatientData[[#This Row],[Treatment Cost]]&gt;75000,"High Cost","Low Cost")</f>
        <v>High Cost</v>
      </c>
      <c r="K117"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18" spans="1:11" x14ac:dyDescent="0.25">
      <c r="A118" t="s">
        <v>143</v>
      </c>
      <c r="B118" t="s">
        <v>10</v>
      </c>
      <c r="C118" t="s">
        <v>16</v>
      </c>
      <c r="D118" t="s">
        <v>17</v>
      </c>
      <c r="E118" t="s">
        <v>18</v>
      </c>
      <c r="F118">
        <v>14</v>
      </c>
      <c r="G118">
        <v>10917.19</v>
      </c>
      <c r="H118">
        <v>22</v>
      </c>
      <c r="I118">
        <v>43</v>
      </c>
      <c r="J118" t="str">
        <f>IF(PatientData[[#This Row],[Treatment Cost]]&gt;75000,"High Cost","Low Cost")</f>
        <v>Low Cost</v>
      </c>
      <c r="K118"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119" spans="1:11" x14ac:dyDescent="0.25">
      <c r="A119" t="s">
        <v>144</v>
      </c>
      <c r="B119" t="s">
        <v>10</v>
      </c>
      <c r="C119" t="s">
        <v>41</v>
      </c>
      <c r="D119" t="s">
        <v>32</v>
      </c>
      <c r="E119" t="s">
        <v>13</v>
      </c>
      <c r="F119">
        <v>30</v>
      </c>
      <c r="G119">
        <v>97613.71</v>
      </c>
      <c r="H119">
        <v>24</v>
      </c>
      <c r="I119">
        <v>72</v>
      </c>
      <c r="J119" t="str">
        <f>IF(PatientData[[#This Row],[Treatment Cost]]&gt;75000,"High Cost","Low Cost")</f>
        <v>High Cost</v>
      </c>
      <c r="K11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20" spans="1:11" x14ac:dyDescent="0.25">
      <c r="A120" t="s">
        <v>145</v>
      </c>
      <c r="B120" t="s">
        <v>36</v>
      </c>
      <c r="C120" t="s">
        <v>41</v>
      </c>
      <c r="D120" t="s">
        <v>23</v>
      </c>
      <c r="E120" t="s">
        <v>13</v>
      </c>
      <c r="F120">
        <v>81</v>
      </c>
      <c r="G120">
        <v>135711.26999999999</v>
      </c>
      <c r="H120">
        <v>14</v>
      </c>
      <c r="I120">
        <v>99</v>
      </c>
      <c r="J120" t="str">
        <f>IF(PatientData[[#This Row],[Treatment Cost]]&gt;75000,"High Cost","Low Cost")</f>
        <v>High Cost</v>
      </c>
      <c r="K120"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21" spans="1:11" x14ac:dyDescent="0.25">
      <c r="A121" t="s">
        <v>146</v>
      </c>
      <c r="B121" t="s">
        <v>15</v>
      </c>
      <c r="C121" t="s">
        <v>16</v>
      </c>
      <c r="D121" t="s">
        <v>23</v>
      </c>
      <c r="E121" t="s">
        <v>13</v>
      </c>
      <c r="F121">
        <v>48</v>
      </c>
      <c r="G121">
        <v>117464.18</v>
      </c>
      <c r="H121">
        <v>2</v>
      </c>
      <c r="I121">
        <v>61</v>
      </c>
      <c r="J121" t="str">
        <f>IF(PatientData[[#This Row],[Treatment Cost]]&gt;75000,"High Cost","Low Cost")</f>
        <v>High Cost</v>
      </c>
      <c r="K12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22" spans="1:11" x14ac:dyDescent="0.25">
      <c r="A122" t="s">
        <v>147</v>
      </c>
      <c r="B122" t="s">
        <v>22</v>
      </c>
      <c r="C122" t="s">
        <v>16</v>
      </c>
      <c r="D122" t="s">
        <v>23</v>
      </c>
      <c r="E122" t="s">
        <v>29</v>
      </c>
      <c r="F122">
        <v>45</v>
      </c>
      <c r="G122">
        <v>89474.55</v>
      </c>
      <c r="H122">
        <v>21</v>
      </c>
      <c r="I122">
        <v>64</v>
      </c>
      <c r="J122" t="str">
        <f>IF(PatientData[[#This Row],[Treatment Cost]]&gt;75000,"High Cost","Low Cost")</f>
        <v>High Cost</v>
      </c>
      <c r="K122"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23" spans="1:11" x14ac:dyDescent="0.25">
      <c r="A123" t="s">
        <v>148</v>
      </c>
      <c r="B123" t="s">
        <v>10</v>
      </c>
      <c r="C123" t="s">
        <v>41</v>
      </c>
      <c r="D123" t="s">
        <v>32</v>
      </c>
      <c r="E123" t="s">
        <v>29</v>
      </c>
      <c r="F123">
        <v>1</v>
      </c>
      <c r="G123">
        <v>105954.09</v>
      </c>
      <c r="H123">
        <v>12</v>
      </c>
      <c r="I123">
        <v>95</v>
      </c>
      <c r="J123" t="str">
        <f>IF(PatientData[[#This Row],[Treatment Cost]]&gt;75000,"High Cost","Low Cost")</f>
        <v>High Cost</v>
      </c>
      <c r="K123"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24" spans="1:11" x14ac:dyDescent="0.25">
      <c r="A124" t="s">
        <v>149</v>
      </c>
      <c r="B124" t="s">
        <v>15</v>
      </c>
      <c r="C124" t="s">
        <v>28</v>
      </c>
      <c r="D124" t="s">
        <v>26</v>
      </c>
      <c r="E124" t="s">
        <v>13</v>
      </c>
      <c r="F124">
        <v>30</v>
      </c>
      <c r="G124">
        <v>91267.91</v>
      </c>
      <c r="H124">
        <v>17</v>
      </c>
      <c r="I124">
        <v>76</v>
      </c>
      <c r="J124" t="str">
        <f>IF(PatientData[[#This Row],[Treatment Cost]]&gt;75000,"High Cost","Low Cost")</f>
        <v>High Cost</v>
      </c>
      <c r="K124"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25" spans="1:11" x14ac:dyDescent="0.25">
      <c r="A125" t="s">
        <v>150</v>
      </c>
      <c r="B125" t="s">
        <v>36</v>
      </c>
      <c r="C125" t="s">
        <v>11</v>
      </c>
      <c r="D125" t="s">
        <v>26</v>
      </c>
      <c r="E125" t="s">
        <v>13</v>
      </c>
      <c r="F125">
        <v>3</v>
      </c>
      <c r="G125">
        <v>46506.94</v>
      </c>
      <c r="H125">
        <v>9</v>
      </c>
      <c r="I125">
        <v>72</v>
      </c>
      <c r="J125" t="str">
        <f>IF(PatientData[[#This Row],[Treatment Cost]]&gt;75000,"High Cost","Low Cost")</f>
        <v>Low Cost</v>
      </c>
      <c r="K125"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26" spans="1:11" x14ac:dyDescent="0.25">
      <c r="A126" t="s">
        <v>151</v>
      </c>
      <c r="B126" t="s">
        <v>31</v>
      </c>
      <c r="C126" t="s">
        <v>41</v>
      </c>
      <c r="D126" t="s">
        <v>17</v>
      </c>
      <c r="E126" t="s">
        <v>13</v>
      </c>
      <c r="F126">
        <v>78</v>
      </c>
      <c r="G126">
        <v>40568.300000000003</v>
      </c>
      <c r="H126">
        <v>18</v>
      </c>
      <c r="I126">
        <v>91</v>
      </c>
      <c r="J126" t="str">
        <f>IF(PatientData[[#This Row],[Treatment Cost]]&gt;75000,"High Cost","Low Cost")</f>
        <v>Low Cost</v>
      </c>
      <c r="K126"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27" spans="1:11" x14ac:dyDescent="0.25">
      <c r="A127" t="s">
        <v>152</v>
      </c>
      <c r="B127" t="s">
        <v>22</v>
      </c>
      <c r="C127" t="s">
        <v>11</v>
      </c>
      <c r="D127" t="s">
        <v>32</v>
      </c>
      <c r="E127" t="s">
        <v>18</v>
      </c>
      <c r="F127">
        <v>35</v>
      </c>
      <c r="G127">
        <v>132265.98000000001</v>
      </c>
      <c r="H127">
        <v>7</v>
      </c>
      <c r="I127">
        <v>45</v>
      </c>
      <c r="J127" t="str">
        <f>IF(PatientData[[#This Row],[Treatment Cost]]&gt;75000,"High Cost","Low Cost")</f>
        <v>High Cost</v>
      </c>
      <c r="K127"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28" spans="1:11" x14ac:dyDescent="0.25">
      <c r="A128" t="s">
        <v>153</v>
      </c>
      <c r="B128" t="s">
        <v>15</v>
      </c>
      <c r="C128" t="s">
        <v>41</v>
      </c>
      <c r="D128" t="s">
        <v>23</v>
      </c>
      <c r="E128" t="s">
        <v>18</v>
      </c>
      <c r="F128">
        <v>88</v>
      </c>
      <c r="G128">
        <v>50993.47</v>
      </c>
      <c r="H128">
        <v>4</v>
      </c>
      <c r="I128">
        <v>82</v>
      </c>
      <c r="J128" t="str">
        <f>IF(PatientData[[#This Row],[Treatment Cost]]&gt;75000,"High Cost","Low Cost")</f>
        <v>Low Cost</v>
      </c>
      <c r="K128"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29" spans="1:11" x14ac:dyDescent="0.25">
      <c r="A129" t="s">
        <v>154</v>
      </c>
      <c r="B129" t="s">
        <v>22</v>
      </c>
      <c r="C129" t="s">
        <v>41</v>
      </c>
      <c r="D129" t="s">
        <v>17</v>
      </c>
      <c r="E129" t="s">
        <v>18</v>
      </c>
      <c r="F129">
        <v>7</v>
      </c>
      <c r="G129">
        <v>135590.48000000001</v>
      </c>
      <c r="H129">
        <v>6</v>
      </c>
      <c r="I129">
        <v>46</v>
      </c>
      <c r="J129" t="str">
        <f>IF(PatientData[[#This Row],[Treatment Cost]]&gt;75000,"High Cost","Low Cost")</f>
        <v>High Cost</v>
      </c>
      <c r="K129"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30" spans="1:11" x14ac:dyDescent="0.25">
      <c r="A130" t="s">
        <v>155</v>
      </c>
      <c r="B130" t="s">
        <v>15</v>
      </c>
      <c r="C130" t="s">
        <v>41</v>
      </c>
      <c r="D130" t="s">
        <v>32</v>
      </c>
      <c r="E130" t="s">
        <v>13</v>
      </c>
      <c r="F130">
        <v>73</v>
      </c>
      <c r="G130">
        <v>148956.56</v>
      </c>
      <c r="H130">
        <v>6</v>
      </c>
      <c r="I130">
        <v>100</v>
      </c>
      <c r="J130" t="str">
        <f>IF(PatientData[[#This Row],[Treatment Cost]]&gt;75000,"High Cost","Low Cost")</f>
        <v>High Cost</v>
      </c>
      <c r="K130"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31" spans="1:11" x14ac:dyDescent="0.25">
      <c r="A131" t="s">
        <v>156</v>
      </c>
      <c r="B131" t="s">
        <v>25</v>
      </c>
      <c r="C131" t="s">
        <v>16</v>
      </c>
      <c r="D131" t="s">
        <v>12</v>
      </c>
      <c r="E131" t="s">
        <v>18</v>
      </c>
      <c r="F131">
        <v>83</v>
      </c>
      <c r="G131">
        <v>71584.960000000006</v>
      </c>
      <c r="H131">
        <v>26</v>
      </c>
      <c r="I131">
        <v>55</v>
      </c>
      <c r="J131" t="str">
        <f>IF(PatientData[[#This Row],[Treatment Cost]]&gt;75000,"High Cost","Low Cost")</f>
        <v>Low Cost</v>
      </c>
      <c r="K131"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32" spans="1:11" x14ac:dyDescent="0.25">
      <c r="A132" t="s">
        <v>157</v>
      </c>
      <c r="B132" t="s">
        <v>22</v>
      </c>
      <c r="C132" t="s">
        <v>28</v>
      </c>
      <c r="D132" t="s">
        <v>17</v>
      </c>
      <c r="E132" t="s">
        <v>29</v>
      </c>
      <c r="F132">
        <v>37</v>
      </c>
      <c r="G132">
        <v>78613.16</v>
      </c>
      <c r="H132">
        <v>20</v>
      </c>
      <c r="I132">
        <v>85</v>
      </c>
      <c r="J132" t="str">
        <f>IF(PatientData[[#This Row],[Treatment Cost]]&gt;75000,"High Cost","Low Cost")</f>
        <v>High Cost</v>
      </c>
      <c r="K13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33" spans="1:11" x14ac:dyDescent="0.25">
      <c r="A133" t="s">
        <v>158</v>
      </c>
      <c r="B133" t="s">
        <v>22</v>
      </c>
      <c r="C133" t="s">
        <v>11</v>
      </c>
      <c r="D133" t="s">
        <v>23</v>
      </c>
      <c r="E133" t="s">
        <v>18</v>
      </c>
      <c r="F133">
        <v>53</v>
      </c>
      <c r="G133">
        <v>103548.4</v>
      </c>
      <c r="H133">
        <v>27</v>
      </c>
      <c r="I133">
        <v>74</v>
      </c>
      <c r="J133" t="str">
        <f>IF(PatientData[[#This Row],[Treatment Cost]]&gt;75000,"High Cost","Low Cost")</f>
        <v>High Cost</v>
      </c>
      <c r="K133"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34" spans="1:11" x14ac:dyDescent="0.25">
      <c r="A134" t="s">
        <v>159</v>
      </c>
      <c r="B134" t="s">
        <v>31</v>
      </c>
      <c r="C134" t="s">
        <v>11</v>
      </c>
      <c r="D134" t="s">
        <v>32</v>
      </c>
      <c r="E134" t="s">
        <v>29</v>
      </c>
      <c r="F134">
        <v>50</v>
      </c>
      <c r="G134">
        <v>62134.18</v>
      </c>
      <c r="H134">
        <v>13</v>
      </c>
      <c r="I134">
        <v>40</v>
      </c>
      <c r="J134" t="str">
        <f>IF(PatientData[[#This Row],[Treatment Cost]]&gt;75000,"High Cost","Low Cost")</f>
        <v>Low Cost</v>
      </c>
      <c r="K134"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35" spans="1:11" x14ac:dyDescent="0.25">
      <c r="A135" t="s">
        <v>160</v>
      </c>
      <c r="B135" t="s">
        <v>36</v>
      </c>
      <c r="C135" t="s">
        <v>41</v>
      </c>
      <c r="D135" t="s">
        <v>32</v>
      </c>
      <c r="E135" t="s">
        <v>18</v>
      </c>
      <c r="F135">
        <v>7</v>
      </c>
      <c r="G135">
        <v>59235.13</v>
      </c>
      <c r="H135">
        <v>12</v>
      </c>
      <c r="I135">
        <v>42</v>
      </c>
      <c r="J135" t="str">
        <f>IF(PatientData[[#This Row],[Treatment Cost]]&gt;75000,"High Cost","Low Cost")</f>
        <v>Low Cost</v>
      </c>
      <c r="K135"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36" spans="1:11" x14ac:dyDescent="0.25">
      <c r="A136" t="s">
        <v>161</v>
      </c>
      <c r="B136" t="s">
        <v>10</v>
      </c>
      <c r="C136" t="s">
        <v>28</v>
      </c>
      <c r="D136" t="s">
        <v>32</v>
      </c>
      <c r="E136" t="s">
        <v>18</v>
      </c>
      <c r="F136">
        <v>38</v>
      </c>
      <c r="G136">
        <v>118022.05</v>
      </c>
      <c r="H136">
        <v>17</v>
      </c>
      <c r="I136">
        <v>79</v>
      </c>
      <c r="J136" t="str">
        <f>IF(PatientData[[#This Row],[Treatment Cost]]&gt;75000,"High Cost","Low Cost")</f>
        <v>High Cost</v>
      </c>
      <c r="K13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37" spans="1:11" x14ac:dyDescent="0.25">
      <c r="A137" t="s">
        <v>162</v>
      </c>
      <c r="B137" t="s">
        <v>25</v>
      </c>
      <c r="C137" t="s">
        <v>11</v>
      </c>
      <c r="D137" t="s">
        <v>26</v>
      </c>
      <c r="E137" t="s">
        <v>13</v>
      </c>
      <c r="F137">
        <v>49</v>
      </c>
      <c r="G137">
        <v>127750.62</v>
      </c>
      <c r="H137">
        <v>18</v>
      </c>
      <c r="I137">
        <v>60</v>
      </c>
      <c r="J137" t="str">
        <f>IF(PatientData[[#This Row],[Treatment Cost]]&gt;75000,"High Cost","Low Cost")</f>
        <v>High Cost</v>
      </c>
      <c r="K137"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38" spans="1:11" x14ac:dyDescent="0.25">
      <c r="A138" t="s">
        <v>163</v>
      </c>
      <c r="B138" t="s">
        <v>15</v>
      </c>
      <c r="C138" t="s">
        <v>28</v>
      </c>
      <c r="D138" t="s">
        <v>17</v>
      </c>
      <c r="E138" t="s">
        <v>29</v>
      </c>
      <c r="F138">
        <v>27</v>
      </c>
      <c r="G138">
        <v>79666.86</v>
      </c>
      <c r="H138">
        <v>16</v>
      </c>
      <c r="I138">
        <v>85</v>
      </c>
      <c r="J138" t="str">
        <f>IF(PatientData[[#This Row],[Treatment Cost]]&gt;75000,"High Cost","Low Cost")</f>
        <v>High Cost</v>
      </c>
      <c r="K138"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39" spans="1:11" x14ac:dyDescent="0.25">
      <c r="A139" t="s">
        <v>164</v>
      </c>
      <c r="B139" t="s">
        <v>22</v>
      </c>
      <c r="C139" t="s">
        <v>41</v>
      </c>
      <c r="D139" t="s">
        <v>12</v>
      </c>
      <c r="E139" t="s">
        <v>13</v>
      </c>
      <c r="F139">
        <v>65</v>
      </c>
      <c r="G139">
        <v>120956.04</v>
      </c>
      <c r="H139">
        <v>25</v>
      </c>
      <c r="I139">
        <v>95</v>
      </c>
      <c r="J139" t="str">
        <f>IF(PatientData[[#This Row],[Treatment Cost]]&gt;75000,"High Cost","Low Cost")</f>
        <v>High Cost</v>
      </c>
      <c r="K139"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40" spans="1:11" x14ac:dyDescent="0.25">
      <c r="A140" t="s">
        <v>165</v>
      </c>
      <c r="B140" t="s">
        <v>10</v>
      </c>
      <c r="C140" t="s">
        <v>28</v>
      </c>
      <c r="D140" t="s">
        <v>26</v>
      </c>
      <c r="E140" t="s">
        <v>18</v>
      </c>
      <c r="F140">
        <v>58</v>
      </c>
      <c r="G140">
        <v>100338.81</v>
      </c>
      <c r="H140">
        <v>7</v>
      </c>
      <c r="I140">
        <v>59</v>
      </c>
      <c r="J140" t="str">
        <f>IF(PatientData[[#This Row],[Treatment Cost]]&gt;75000,"High Cost","Low Cost")</f>
        <v>High Cost</v>
      </c>
      <c r="K140"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41" spans="1:11" x14ac:dyDescent="0.25">
      <c r="A141" t="s">
        <v>166</v>
      </c>
      <c r="B141" t="s">
        <v>31</v>
      </c>
      <c r="C141" t="s">
        <v>28</v>
      </c>
      <c r="D141" t="s">
        <v>12</v>
      </c>
      <c r="E141" t="s">
        <v>13</v>
      </c>
      <c r="F141">
        <v>22</v>
      </c>
      <c r="G141">
        <v>120621.62</v>
      </c>
      <c r="H141">
        <v>21</v>
      </c>
      <c r="I141">
        <v>74</v>
      </c>
      <c r="J141" t="str">
        <f>IF(PatientData[[#This Row],[Treatment Cost]]&gt;75000,"High Cost","Low Cost")</f>
        <v>High Cost</v>
      </c>
      <c r="K141"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42" spans="1:11" x14ac:dyDescent="0.25">
      <c r="A142" t="s">
        <v>167</v>
      </c>
      <c r="B142" t="s">
        <v>10</v>
      </c>
      <c r="C142" t="s">
        <v>28</v>
      </c>
      <c r="D142" t="s">
        <v>23</v>
      </c>
      <c r="E142" t="s">
        <v>18</v>
      </c>
      <c r="F142">
        <v>10</v>
      </c>
      <c r="G142">
        <v>21143.75</v>
      </c>
      <c r="H142">
        <v>2</v>
      </c>
      <c r="I142">
        <v>42</v>
      </c>
      <c r="J142" t="str">
        <f>IF(PatientData[[#This Row],[Treatment Cost]]&gt;75000,"High Cost","Low Cost")</f>
        <v>Low Cost</v>
      </c>
      <c r="K142"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43" spans="1:11" x14ac:dyDescent="0.25">
      <c r="A143" t="s">
        <v>168</v>
      </c>
      <c r="B143" t="s">
        <v>31</v>
      </c>
      <c r="C143" t="s">
        <v>28</v>
      </c>
      <c r="D143" t="s">
        <v>32</v>
      </c>
      <c r="E143" t="s">
        <v>29</v>
      </c>
      <c r="F143">
        <v>37</v>
      </c>
      <c r="G143">
        <v>58168.06</v>
      </c>
      <c r="H143">
        <v>3</v>
      </c>
      <c r="I143">
        <v>84</v>
      </c>
      <c r="J143" t="str">
        <f>IF(PatientData[[#This Row],[Treatment Cost]]&gt;75000,"High Cost","Low Cost")</f>
        <v>Low Cost</v>
      </c>
      <c r="K143"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44" spans="1:11" x14ac:dyDescent="0.25">
      <c r="A144" t="s">
        <v>169</v>
      </c>
      <c r="B144" t="s">
        <v>15</v>
      </c>
      <c r="C144" t="s">
        <v>41</v>
      </c>
      <c r="D144" t="s">
        <v>32</v>
      </c>
      <c r="E144" t="s">
        <v>13</v>
      </c>
      <c r="F144">
        <v>57</v>
      </c>
      <c r="G144">
        <v>121600.57</v>
      </c>
      <c r="H144">
        <v>19</v>
      </c>
      <c r="I144">
        <v>94</v>
      </c>
      <c r="J144" t="str">
        <f>IF(PatientData[[#This Row],[Treatment Cost]]&gt;75000,"High Cost","Low Cost")</f>
        <v>High Cost</v>
      </c>
      <c r="K144"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45" spans="1:11" x14ac:dyDescent="0.25">
      <c r="A145" t="s">
        <v>170</v>
      </c>
      <c r="B145" t="s">
        <v>25</v>
      </c>
      <c r="C145" t="s">
        <v>16</v>
      </c>
      <c r="D145" t="s">
        <v>26</v>
      </c>
      <c r="E145" t="s">
        <v>18</v>
      </c>
      <c r="F145">
        <v>26</v>
      </c>
      <c r="G145">
        <v>60409.31</v>
      </c>
      <c r="H145">
        <v>25</v>
      </c>
      <c r="I145">
        <v>94</v>
      </c>
      <c r="J145" t="str">
        <f>IF(PatientData[[#This Row],[Treatment Cost]]&gt;75000,"High Cost","Low Cost")</f>
        <v>Low Cost</v>
      </c>
      <c r="K145"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46" spans="1:11" x14ac:dyDescent="0.25">
      <c r="A146" t="s">
        <v>171</v>
      </c>
      <c r="B146" t="s">
        <v>10</v>
      </c>
      <c r="C146" t="s">
        <v>16</v>
      </c>
      <c r="D146" t="s">
        <v>23</v>
      </c>
      <c r="E146" t="s">
        <v>18</v>
      </c>
      <c r="F146">
        <v>51</v>
      </c>
      <c r="G146">
        <v>148766.01</v>
      </c>
      <c r="H146">
        <v>21</v>
      </c>
      <c r="I146">
        <v>76</v>
      </c>
      <c r="J146" t="str">
        <f>IF(PatientData[[#This Row],[Treatment Cost]]&gt;75000,"High Cost","Low Cost")</f>
        <v>High Cost</v>
      </c>
      <c r="K146"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47" spans="1:11" x14ac:dyDescent="0.25">
      <c r="A147" t="s">
        <v>172</v>
      </c>
      <c r="B147" t="s">
        <v>10</v>
      </c>
      <c r="C147" t="s">
        <v>28</v>
      </c>
      <c r="D147" t="s">
        <v>26</v>
      </c>
      <c r="E147" t="s">
        <v>18</v>
      </c>
      <c r="F147">
        <v>1</v>
      </c>
      <c r="G147">
        <v>46211.03</v>
      </c>
      <c r="H147">
        <v>4</v>
      </c>
      <c r="I147">
        <v>97</v>
      </c>
      <c r="J147" t="str">
        <f>IF(PatientData[[#This Row],[Treatment Cost]]&gt;75000,"High Cost","Low Cost")</f>
        <v>Low Cost</v>
      </c>
      <c r="K14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48" spans="1:11" x14ac:dyDescent="0.25">
      <c r="A148" t="s">
        <v>173</v>
      </c>
      <c r="B148" t="s">
        <v>36</v>
      </c>
      <c r="C148" t="s">
        <v>11</v>
      </c>
      <c r="D148" t="s">
        <v>26</v>
      </c>
      <c r="E148" t="s">
        <v>18</v>
      </c>
      <c r="F148">
        <v>61</v>
      </c>
      <c r="G148">
        <v>32781.94</v>
      </c>
      <c r="H148">
        <v>1</v>
      </c>
      <c r="I148">
        <v>83</v>
      </c>
      <c r="J148" t="str">
        <f>IF(PatientData[[#This Row],[Treatment Cost]]&gt;75000,"High Cost","Low Cost")</f>
        <v>Low Cost</v>
      </c>
      <c r="K148"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49" spans="1:11" x14ac:dyDescent="0.25">
      <c r="A149" t="s">
        <v>174</v>
      </c>
      <c r="B149" t="s">
        <v>36</v>
      </c>
      <c r="C149" t="s">
        <v>16</v>
      </c>
      <c r="D149" t="s">
        <v>17</v>
      </c>
      <c r="E149" t="s">
        <v>29</v>
      </c>
      <c r="F149">
        <v>34</v>
      </c>
      <c r="G149">
        <v>139264.72</v>
      </c>
      <c r="H149">
        <v>14</v>
      </c>
      <c r="I149">
        <v>72</v>
      </c>
      <c r="J149" t="str">
        <f>IF(PatientData[[#This Row],[Treatment Cost]]&gt;75000,"High Cost","Low Cost")</f>
        <v>High Cost</v>
      </c>
      <c r="K14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50" spans="1:11" x14ac:dyDescent="0.25">
      <c r="A150" t="s">
        <v>175</v>
      </c>
      <c r="B150" t="s">
        <v>15</v>
      </c>
      <c r="C150" t="s">
        <v>11</v>
      </c>
      <c r="D150" t="s">
        <v>32</v>
      </c>
      <c r="E150" t="s">
        <v>13</v>
      </c>
      <c r="F150">
        <v>78</v>
      </c>
      <c r="G150">
        <v>15165.98</v>
      </c>
      <c r="H150">
        <v>25</v>
      </c>
      <c r="I150">
        <v>86</v>
      </c>
      <c r="J150" t="str">
        <f>IF(PatientData[[#This Row],[Treatment Cost]]&gt;75000,"High Cost","Low Cost")</f>
        <v>Low Cost</v>
      </c>
      <c r="K150"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51" spans="1:11" x14ac:dyDescent="0.25">
      <c r="A151" t="s">
        <v>176</v>
      </c>
      <c r="B151" t="s">
        <v>10</v>
      </c>
      <c r="C151" t="s">
        <v>28</v>
      </c>
      <c r="D151" t="s">
        <v>17</v>
      </c>
      <c r="E151" t="s">
        <v>18</v>
      </c>
      <c r="F151">
        <v>73</v>
      </c>
      <c r="G151">
        <v>133910.69</v>
      </c>
      <c r="H151">
        <v>22</v>
      </c>
      <c r="I151">
        <v>87</v>
      </c>
      <c r="J151" t="str">
        <f>IF(PatientData[[#This Row],[Treatment Cost]]&gt;75000,"High Cost","Low Cost")</f>
        <v>High Cost</v>
      </c>
      <c r="K151"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52" spans="1:11" x14ac:dyDescent="0.25">
      <c r="A152" t="s">
        <v>177</v>
      </c>
      <c r="B152" t="s">
        <v>25</v>
      </c>
      <c r="C152" t="s">
        <v>28</v>
      </c>
      <c r="D152" t="s">
        <v>12</v>
      </c>
      <c r="E152" t="s">
        <v>18</v>
      </c>
      <c r="F152">
        <v>8</v>
      </c>
      <c r="G152">
        <v>82835.539999999994</v>
      </c>
      <c r="H152">
        <v>24</v>
      </c>
      <c r="I152">
        <v>94</v>
      </c>
      <c r="J152" t="str">
        <f>IF(PatientData[[#This Row],[Treatment Cost]]&gt;75000,"High Cost","Low Cost")</f>
        <v>High Cost</v>
      </c>
      <c r="K152"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53" spans="1:11" x14ac:dyDescent="0.25">
      <c r="A153" t="s">
        <v>178</v>
      </c>
      <c r="B153" t="s">
        <v>10</v>
      </c>
      <c r="C153" t="s">
        <v>16</v>
      </c>
      <c r="D153" t="s">
        <v>32</v>
      </c>
      <c r="E153" t="s">
        <v>18</v>
      </c>
      <c r="F153">
        <v>16</v>
      </c>
      <c r="G153">
        <v>109945.06</v>
      </c>
      <c r="H153">
        <v>23</v>
      </c>
      <c r="I153">
        <v>76</v>
      </c>
      <c r="J153" t="str">
        <f>IF(PatientData[[#This Row],[Treatment Cost]]&gt;75000,"High Cost","Low Cost")</f>
        <v>High Cost</v>
      </c>
      <c r="K153"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154" spans="1:11" x14ac:dyDescent="0.25">
      <c r="A154" t="s">
        <v>179</v>
      </c>
      <c r="B154" t="s">
        <v>10</v>
      </c>
      <c r="C154" t="s">
        <v>16</v>
      </c>
      <c r="D154" t="s">
        <v>26</v>
      </c>
      <c r="E154" t="s">
        <v>29</v>
      </c>
      <c r="F154">
        <v>3</v>
      </c>
      <c r="G154">
        <v>40894.400000000001</v>
      </c>
      <c r="H154">
        <v>20</v>
      </c>
      <c r="I154">
        <v>46</v>
      </c>
      <c r="J154" t="str">
        <f>IF(PatientData[[#This Row],[Treatment Cost]]&gt;75000,"High Cost","Low Cost")</f>
        <v>Low Cost</v>
      </c>
      <c r="K154"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55" spans="1:11" x14ac:dyDescent="0.25">
      <c r="A155" t="s">
        <v>180</v>
      </c>
      <c r="B155" t="s">
        <v>10</v>
      </c>
      <c r="C155" t="s">
        <v>16</v>
      </c>
      <c r="D155" t="s">
        <v>26</v>
      </c>
      <c r="E155" t="s">
        <v>29</v>
      </c>
      <c r="F155">
        <v>28</v>
      </c>
      <c r="G155">
        <v>5522.04</v>
      </c>
      <c r="H155">
        <v>20</v>
      </c>
      <c r="I155">
        <v>95</v>
      </c>
      <c r="J155" t="str">
        <f>IF(PatientData[[#This Row],[Treatment Cost]]&gt;75000,"High Cost","Low Cost")</f>
        <v>Low Cost</v>
      </c>
      <c r="K155"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56" spans="1:11" x14ac:dyDescent="0.25">
      <c r="A156" t="s">
        <v>181</v>
      </c>
      <c r="B156" t="s">
        <v>22</v>
      </c>
      <c r="C156" t="s">
        <v>41</v>
      </c>
      <c r="D156" t="s">
        <v>26</v>
      </c>
      <c r="E156" t="s">
        <v>18</v>
      </c>
      <c r="F156">
        <v>38</v>
      </c>
      <c r="G156">
        <v>121567.96</v>
      </c>
      <c r="H156">
        <v>26</v>
      </c>
      <c r="I156">
        <v>65</v>
      </c>
      <c r="J156" t="str">
        <f>IF(PatientData[[#This Row],[Treatment Cost]]&gt;75000,"High Cost","Low Cost")</f>
        <v>High Cost</v>
      </c>
      <c r="K15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57" spans="1:11" x14ac:dyDescent="0.25">
      <c r="A157" t="s">
        <v>182</v>
      </c>
      <c r="B157" t="s">
        <v>10</v>
      </c>
      <c r="C157" t="s">
        <v>41</v>
      </c>
      <c r="D157" t="s">
        <v>32</v>
      </c>
      <c r="E157" t="s">
        <v>13</v>
      </c>
      <c r="F157">
        <v>2</v>
      </c>
      <c r="G157">
        <v>14606.74</v>
      </c>
      <c r="H157">
        <v>30</v>
      </c>
      <c r="I157">
        <v>75</v>
      </c>
      <c r="J157" t="str">
        <f>IF(PatientData[[#This Row],[Treatment Cost]]&gt;75000,"High Cost","Low Cost")</f>
        <v>Low Cost</v>
      </c>
      <c r="K15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58" spans="1:11" x14ac:dyDescent="0.25">
      <c r="A158" t="s">
        <v>183</v>
      </c>
      <c r="B158" t="s">
        <v>15</v>
      </c>
      <c r="C158" t="s">
        <v>28</v>
      </c>
      <c r="D158" t="s">
        <v>23</v>
      </c>
      <c r="E158" t="s">
        <v>18</v>
      </c>
      <c r="F158">
        <v>6</v>
      </c>
      <c r="G158">
        <v>116568.72</v>
      </c>
      <c r="H158">
        <v>24</v>
      </c>
      <c r="I158">
        <v>65</v>
      </c>
      <c r="J158" t="str">
        <f>IF(PatientData[[#This Row],[Treatment Cost]]&gt;75000,"High Cost","Low Cost")</f>
        <v>High Cost</v>
      </c>
      <c r="K158"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59" spans="1:11" x14ac:dyDescent="0.25">
      <c r="A159" t="s">
        <v>184</v>
      </c>
      <c r="B159" t="s">
        <v>25</v>
      </c>
      <c r="C159" t="s">
        <v>16</v>
      </c>
      <c r="D159" t="s">
        <v>32</v>
      </c>
      <c r="E159" t="s">
        <v>18</v>
      </c>
      <c r="F159">
        <v>33</v>
      </c>
      <c r="G159">
        <v>70189.8</v>
      </c>
      <c r="H159">
        <v>14</v>
      </c>
      <c r="I159">
        <v>88</v>
      </c>
      <c r="J159" t="str">
        <f>IF(PatientData[[#This Row],[Treatment Cost]]&gt;75000,"High Cost","Low Cost")</f>
        <v>Low Cost</v>
      </c>
      <c r="K15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60" spans="1:11" x14ac:dyDescent="0.25">
      <c r="A160" t="s">
        <v>185</v>
      </c>
      <c r="B160" t="s">
        <v>36</v>
      </c>
      <c r="C160" t="s">
        <v>16</v>
      </c>
      <c r="D160" t="s">
        <v>26</v>
      </c>
      <c r="E160" t="s">
        <v>29</v>
      </c>
      <c r="F160">
        <v>28</v>
      </c>
      <c r="G160">
        <v>136392.39000000001</v>
      </c>
      <c r="H160">
        <v>22</v>
      </c>
      <c r="I160">
        <v>77</v>
      </c>
      <c r="J160" t="str">
        <f>IF(PatientData[[#This Row],[Treatment Cost]]&gt;75000,"High Cost","Low Cost")</f>
        <v>High Cost</v>
      </c>
      <c r="K160"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61" spans="1:11" x14ac:dyDescent="0.25">
      <c r="A161" t="s">
        <v>186</v>
      </c>
      <c r="B161" t="s">
        <v>36</v>
      </c>
      <c r="C161" t="s">
        <v>41</v>
      </c>
      <c r="D161" t="s">
        <v>26</v>
      </c>
      <c r="E161" t="s">
        <v>29</v>
      </c>
      <c r="F161">
        <v>56</v>
      </c>
      <c r="G161">
        <v>139281.34</v>
      </c>
      <c r="H161">
        <v>24</v>
      </c>
      <c r="I161">
        <v>96</v>
      </c>
      <c r="J161" t="str">
        <f>IF(PatientData[[#This Row],[Treatment Cost]]&gt;75000,"High Cost","Low Cost")</f>
        <v>High Cost</v>
      </c>
      <c r="K16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62" spans="1:11" x14ac:dyDescent="0.25">
      <c r="A162" t="s">
        <v>187</v>
      </c>
      <c r="B162" t="s">
        <v>15</v>
      </c>
      <c r="C162" t="s">
        <v>11</v>
      </c>
      <c r="D162" t="s">
        <v>26</v>
      </c>
      <c r="E162" t="s">
        <v>18</v>
      </c>
      <c r="F162">
        <v>80</v>
      </c>
      <c r="G162">
        <v>140818.37</v>
      </c>
      <c r="H162">
        <v>9</v>
      </c>
      <c r="I162">
        <v>42</v>
      </c>
      <c r="J162" t="str">
        <f>IF(PatientData[[#This Row],[Treatment Cost]]&gt;75000,"High Cost","Low Cost")</f>
        <v>High Cost</v>
      </c>
      <c r="K162"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63" spans="1:11" x14ac:dyDescent="0.25">
      <c r="A163" t="s">
        <v>188</v>
      </c>
      <c r="B163" t="s">
        <v>31</v>
      </c>
      <c r="C163" t="s">
        <v>41</v>
      </c>
      <c r="D163" t="s">
        <v>17</v>
      </c>
      <c r="E163" t="s">
        <v>18</v>
      </c>
      <c r="F163">
        <v>74</v>
      </c>
      <c r="G163">
        <v>56018.43</v>
      </c>
      <c r="H163">
        <v>7</v>
      </c>
      <c r="I163">
        <v>77</v>
      </c>
      <c r="J163" t="str">
        <f>IF(PatientData[[#This Row],[Treatment Cost]]&gt;75000,"High Cost","Low Cost")</f>
        <v>Low Cost</v>
      </c>
      <c r="K16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64" spans="1:11" x14ac:dyDescent="0.25">
      <c r="A164" t="s">
        <v>189</v>
      </c>
      <c r="B164" t="s">
        <v>22</v>
      </c>
      <c r="C164" t="s">
        <v>41</v>
      </c>
      <c r="D164" t="s">
        <v>32</v>
      </c>
      <c r="E164" t="s">
        <v>29</v>
      </c>
      <c r="F164">
        <v>72</v>
      </c>
      <c r="G164">
        <v>144841.74</v>
      </c>
      <c r="H164">
        <v>5</v>
      </c>
      <c r="I164">
        <v>57</v>
      </c>
      <c r="J164" t="str">
        <f>IF(PatientData[[#This Row],[Treatment Cost]]&gt;75000,"High Cost","Low Cost")</f>
        <v>High Cost</v>
      </c>
      <c r="K164"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65" spans="1:11" x14ac:dyDescent="0.25">
      <c r="A165" t="s">
        <v>190</v>
      </c>
      <c r="B165" t="s">
        <v>31</v>
      </c>
      <c r="C165" t="s">
        <v>11</v>
      </c>
      <c r="D165" t="s">
        <v>23</v>
      </c>
      <c r="E165" t="s">
        <v>18</v>
      </c>
      <c r="F165">
        <v>14</v>
      </c>
      <c r="G165">
        <v>123398.79</v>
      </c>
      <c r="H165">
        <v>21</v>
      </c>
      <c r="I165">
        <v>77</v>
      </c>
      <c r="J165" t="str">
        <f>IF(PatientData[[#This Row],[Treatment Cost]]&gt;75000,"High Cost","Low Cost")</f>
        <v>High Cost</v>
      </c>
      <c r="K165" t="str">
        <f>IF(PatientData[[#This Row],[Age]]&lt;=5,"Infant",IF(PatientData[[#This Row],[Age]]&lt;=12,"Child",IF(PatientData[[#This Row],[Age]]&lt;=19,"Teenager",IF(PatientData[[#This Row],[Age]]&lt;=29,"Young Adult", IF(PatientData[[#This Row],[Age]]&lt;=44,"Adult",IF(PatientData[[#This Row],[Age]]&lt;=59,"Middle-Age", IF(PatientData[[#This Row],[Age]]&lt;=74,"Senior","Elderly")))))))</f>
        <v>Teenager</v>
      </c>
    </row>
    <row r="166" spans="1:11" x14ac:dyDescent="0.25">
      <c r="A166" t="s">
        <v>191</v>
      </c>
      <c r="B166" t="s">
        <v>15</v>
      </c>
      <c r="C166" t="s">
        <v>41</v>
      </c>
      <c r="D166" t="s">
        <v>32</v>
      </c>
      <c r="E166" t="s">
        <v>18</v>
      </c>
      <c r="F166">
        <v>48</v>
      </c>
      <c r="G166">
        <v>10911.55</v>
      </c>
      <c r="H166">
        <v>19</v>
      </c>
      <c r="I166">
        <v>47</v>
      </c>
      <c r="J166" t="str">
        <f>IF(PatientData[[#This Row],[Treatment Cost]]&gt;75000,"High Cost","Low Cost")</f>
        <v>Low Cost</v>
      </c>
      <c r="K166"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67" spans="1:11" x14ac:dyDescent="0.25">
      <c r="A167" t="s">
        <v>192</v>
      </c>
      <c r="B167" t="s">
        <v>36</v>
      </c>
      <c r="C167" t="s">
        <v>16</v>
      </c>
      <c r="D167" t="s">
        <v>32</v>
      </c>
      <c r="E167" t="s">
        <v>13</v>
      </c>
      <c r="F167">
        <v>87</v>
      </c>
      <c r="G167">
        <v>96532.96</v>
      </c>
      <c r="H167">
        <v>7</v>
      </c>
      <c r="I167">
        <v>93</v>
      </c>
      <c r="J167" t="str">
        <f>IF(PatientData[[#This Row],[Treatment Cost]]&gt;75000,"High Cost","Low Cost")</f>
        <v>High Cost</v>
      </c>
      <c r="K167"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68" spans="1:11" x14ac:dyDescent="0.25">
      <c r="A168" t="s">
        <v>193</v>
      </c>
      <c r="B168" t="s">
        <v>15</v>
      </c>
      <c r="C168" t="s">
        <v>41</v>
      </c>
      <c r="D168" t="s">
        <v>32</v>
      </c>
      <c r="E168" t="s">
        <v>29</v>
      </c>
      <c r="F168">
        <v>49</v>
      </c>
      <c r="G168">
        <v>126056.09</v>
      </c>
      <c r="H168">
        <v>11</v>
      </c>
      <c r="I168">
        <v>78</v>
      </c>
      <c r="J168" t="str">
        <f>IF(PatientData[[#This Row],[Treatment Cost]]&gt;75000,"High Cost","Low Cost")</f>
        <v>High Cost</v>
      </c>
      <c r="K168"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69" spans="1:11" x14ac:dyDescent="0.25">
      <c r="A169" t="s">
        <v>194</v>
      </c>
      <c r="B169" t="s">
        <v>36</v>
      </c>
      <c r="C169" t="s">
        <v>41</v>
      </c>
      <c r="D169" t="s">
        <v>32</v>
      </c>
      <c r="E169" t="s">
        <v>29</v>
      </c>
      <c r="F169">
        <v>42</v>
      </c>
      <c r="G169">
        <v>92788.13</v>
      </c>
      <c r="H169">
        <v>4</v>
      </c>
      <c r="I169">
        <v>41</v>
      </c>
      <c r="J169" t="str">
        <f>IF(PatientData[[#This Row],[Treatment Cost]]&gt;75000,"High Cost","Low Cost")</f>
        <v>High Cost</v>
      </c>
      <c r="K169"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70" spans="1:11" x14ac:dyDescent="0.25">
      <c r="A170" t="s">
        <v>195</v>
      </c>
      <c r="B170" t="s">
        <v>15</v>
      </c>
      <c r="C170" t="s">
        <v>11</v>
      </c>
      <c r="D170" t="s">
        <v>26</v>
      </c>
      <c r="E170" t="s">
        <v>18</v>
      </c>
      <c r="F170">
        <v>36</v>
      </c>
      <c r="G170">
        <v>24614.639999999999</v>
      </c>
      <c r="H170">
        <v>30</v>
      </c>
      <c r="I170">
        <v>57</v>
      </c>
      <c r="J170" t="str">
        <f>IF(PatientData[[#This Row],[Treatment Cost]]&gt;75000,"High Cost","Low Cost")</f>
        <v>Low Cost</v>
      </c>
      <c r="K170"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71" spans="1:11" x14ac:dyDescent="0.25">
      <c r="A171" t="s">
        <v>196</v>
      </c>
      <c r="B171" t="s">
        <v>31</v>
      </c>
      <c r="C171" t="s">
        <v>11</v>
      </c>
      <c r="D171" t="s">
        <v>12</v>
      </c>
      <c r="E171" t="s">
        <v>29</v>
      </c>
      <c r="F171">
        <v>56</v>
      </c>
      <c r="G171">
        <v>36862.400000000001</v>
      </c>
      <c r="H171">
        <v>28</v>
      </c>
      <c r="I171">
        <v>66</v>
      </c>
      <c r="J171" t="str">
        <f>IF(PatientData[[#This Row],[Treatment Cost]]&gt;75000,"High Cost","Low Cost")</f>
        <v>Low Cost</v>
      </c>
      <c r="K171"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72" spans="1:11" x14ac:dyDescent="0.25">
      <c r="A172" t="s">
        <v>197</v>
      </c>
      <c r="B172" t="s">
        <v>10</v>
      </c>
      <c r="C172" t="s">
        <v>16</v>
      </c>
      <c r="D172" t="s">
        <v>12</v>
      </c>
      <c r="E172" t="s">
        <v>18</v>
      </c>
      <c r="F172">
        <v>39</v>
      </c>
      <c r="G172">
        <v>84065.42</v>
      </c>
      <c r="H172">
        <v>28</v>
      </c>
      <c r="I172">
        <v>50</v>
      </c>
      <c r="J172" t="str">
        <f>IF(PatientData[[#This Row],[Treatment Cost]]&gt;75000,"High Cost","Low Cost")</f>
        <v>High Cost</v>
      </c>
      <c r="K172"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73" spans="1:11" x14ac:dyDescent="0.25">
      <c r="A173" t="s">
        <v>198</v>
      </c>
      <c r="B173" t="s">
        <v>10</v>
      </c>
      <c r="C173" t="s">
        <v>41</v>
      </c>
      <c r="D173" t="s">
        <v>12</v>
      </c>
      <c r="E173" t="s">
        <v>29</v>
      </c>
      <c r="F173">
        <v>42</v>
      </c>
      <c r="G173">
        <v>83047.11</v>
      </c>
      <c r="H173">
        <v>13</v>
      </c>
      <c r="I173">
        <v>50</v>
      </c>
      <c r="J173" t="str">
        <f>IF(PatientData[[#This Row],[Treatment Cost]]&gt;75000,"High Cost","Low Cost")</f>
        <v>High Cost</v>
      </c>
      <c r="K173"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74" spans="1:11" x14ac:dyDescent="0.25">
      <c r="A174" t="s">
        <v>199</v>
      </c>
      <c r="B174" t="s">
        <v>10</v>
      </c>
      <c r="C174" t="s">
        <v>11</v>
      </c>
      <c r="D174" t="s">
        <v>26</v>
      </c>
      <c r="E174" t="s">
        <v>29</v>
      </c>
      <c r="F174">
        <v>59</v>
      </c>
      <c r="G174">
        <v>96326.11</v>
      </c>
      <c r="H174">
        <v>17</v>
      </c>
      <c r="I174">
        <v>82</v>
      </c>
      <c r="J174" t="str">
        <f>IF(PatientData[[#This Row],[Treatment Cost]]&gt;75000,"High Cost","Low Cost")</f>
        <v>High Cost</v>
      </c>
      <c r="K174"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75" spans="1:11" x14ac:dyDescent="0.25">
      <c r="A175" t="s">
        <v>200</v>
      </c>
      <c r="B175" t="s">
        <v>36</v>
      </c>
      <c r="C175" t="s">
        <v>41</v>
      </c>
      <c r="D175" t="s">
        <v>12</v>
      </c>
      <c r="E175" t="s">
        <v>18</v>
      </c>
      <c r="F175">
        <v>67</v>
      </c>
      <c r="G175">
        <v>49487.73</v>
      </c>
      <c r="H175">
        <v>27</v>
      </c>
      <c r="I175">
        <v>72</v>
      </c>
      <c r="J175" t="str">
        <f>IF(PatientData[[#This Row],[Treatment Cost]]&gt;75000,"High Cost","Low Cost")</f>
        <v>Low Cost</v>
      </c>
      <c r="K175"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76" spans="1:11" x14ac:dyDescent="0.25">
      <c r="A176" t="s">
        <v>201</v>
      </c>
      <c r="B176" t="s">
        <v>10</v>
      </c>
      <c r="C176" t="s">
        <v>41</v>
      </c>
      <c r="D176" t="s">
        <v>17</v>
      </c>
      <c r="E176" t="s">
        <v>18</v>
      </c>
      <c r="F176">
        <v>11</v>
      </c>
      <c r="G176">
        <v>18263.25</v>
      </c>
      <c r="H176">
        <v>29</v>
      </c>
      <c r="I176">
        <v>83</v>
      </c>
      <c r="J176" t="str">
        <f>IF(PatientData[[#This Row],[Treatment Cost]]&gt;75000,"High Cost","Low Cost")</f>
        <v>Low Cost</v>
      </c>
      <c r="K176"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77" spans="1:11" x14ac:dyDescent="0.25">
      <c r="A177" t="s">
        <v>202</v>
      </c>
      <c r="B177" t="s">
        <v>31</v>
      </c>
      <c r="C177" t="s">
        <v>28</v>
      </c>
      <c r="D177" t="s">
        <v>12</v>
      </c>
      <c r="E177" t="s">
        <v>13</v>
      </c>
      <c r="F177">
        <v>3</v>
      </c>
      <c r="G177">
        <v>149013.84</v>
      </c>
      <c r="H177">
        <v>26</v>
      </c>
      <c r="I177">
        <v>93</v>
      </c>
      <c r="J177" t="str">
        <f>IF(PatientData[[#This Row],[Treatment Cost]]&gt;75000,"High Cost","Low Cost")</f>
        <v>High Cost</v>
      </c>
      <c r="K17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78" spans="1:11" x14ac:dyDescent="0.25">
      <c r="A178" t="s">
        <v>203</v>
      </c>
      <c r="B178" t="s">
        <v>22</v>
      </c>
      <c r="C178" t="s">
        <v>16</v>
      </c>
      <c r="D178" t="s">
        <v>26</v>
      </c>
      <c r="E178" t="s">
        <v>29</v>
      </c>
      <c r="F178">
        <v>69</v>
      </c>
      <c r="G178">
        <v>46708.35</v>
      </c>
      <c r="H178">
        <v>1</v>
      </c>
      <c r="I178">
        <v>88</v>
      </c>
      <c r="J178" t="str">
        <f>IF(PatientData[[#This Row],[Treatment Cost]]&gt;75000,"High Cost","Low Cost")</f>
        <v>Low Cost</v>
      </c>
      <c r="K178"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79" spans="1:11" x14ac:dyDescent="0.25">
      <c r="A179" t="s">
        <v>204</v>
      </c>
      <c r="B179" t="s">
        <v>25</v>
      </c>
      <c r="C179" t="s">
        <v>11</v>
      </c>
      <c r="D179" t="s">
        <v>17</v>
      </c>
      <c r="E179" t="s">
        <v>18</v>
      </c>
      <c r="F179">
        <v>54</v>
      </c>
      <c r="G179">
        <v>68133.7</v>
      </c>
      <c r="H179">
        <v>9</v>
      </c>
      <c r="I179">
        <v>60</v>
      </c>
      <c r="J179" t="str">
        <f>IF(PatientData[[#This Row],[Treatment Cost]]&gt;75000,"High Cost","Low Cost")</f>
        <v>Low Cost</v>
      </c>
      <c r="K179"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80" spans="1:11" x14ac:dyDescent="0.25">
      <c r="A180" t="s">
        <v>205</v>
      </c>
      <c r="B180" t="s">
        <v>36</v>
      </c>
      <c r="C180" t="s">
        <v>28</v>
      </c>
      <c r="D180" t="s">
        <v>12</v>
      </c>
      <c r="E180" t="s">
        <v>18</v>
      </c>
      <c r="F180">
        <v>82</v>
      </c>
      <c r="G180">
        <v>19213.509999999998</v>
      </c>
      <c r="H180">
        <v>26</v>
      </c>
      <c r="I180">
        <v>96</v>
      </c>
      <c r="J180" t="str">
        <f>IF(PatientData[[#This Row],[Treatment Cost]]&gt;75000,"High Cost","Low Cost")</f>
        <v>Low Cost</v>
      </c>
      <c r="K180"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81" spans="1:11" x14ac:dyDescent="0.25">
      <c r="A181" t="s">
        <v>206</v>
      </c>
      <c r="B181" t="s">
        <v>25</v>
      </c>
      <c r="C181" t="s">
        <v>41</v>
      </c>
      <c r="D181" t="s">
        <v>26</v>
      </c>
      <c r="E181" t="s">
        <v>18</v>
      </c>
      <c r="F181">
        <v>60</v>
      </c>
      <c r="G181">
        <v>22138.22</v>
      </c>
      <c r="H181">
        <v>3</v>
      </c>
      <c r="I181">
        <v>96</v>
      </c>
      <c r="J181" t="str">
        <f>IF(PatientData[[#This Row],[Treatment Cost]]&gt;75000,"High Cost","Low Cost")</f>
        <v>Low Cost</v>
      </c>
      <c r="K181"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82" spans="1:11" x14ac:dyDescent="0.25">
      <c r="A182" t="s">
        <v>207</v>
      </c>
      <c r="B182" t="s">
        <v>22</v>
      </c>
      <c r="C182" t="s">
        <v>16</v>
      </c>
      <c r="D182" t="s">
        <v>17</v>
      </c>
      <c r="E182" t="s">
        <v>18</v>
      </c>
      <c r="F182">
        <v>65</v>
      </c>
      <c r="G182">
        <v>30460.26</v>
      </c>
      <c r="H182">
        <v>21</v>
      </c>
      <c r="I182">
        <v>63</v>
      </c>
      <c r="J182" t="str">
        <f>IF(PatientData[[#This Row],[Treatment Cost]]&gt;75000,"High Cost","Low Cost")</f>
        <v>Low Cost</v>
      </c>
      <c r="K182"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83" spans="1:11" x14ac:dyDescent="0.25">
      <c r="A183" t="s">
        <v>208</v>
      </c>
      <c r="B183" t="s">
        <v>15</v>
      </c>
      <c r="C183" t="s">
        <v>28</v>
      </c>
      <c r="D183" t="s">
        <v>23</v>
      </c>
      <c r="E183" t="s">
        <v>18</v>
      </c>
      <c r="F183">
        <v>5</v>
      </c>
      <c r="G183">
        <v>52772.62</v>
      </c>
      <c r="H183">
        <v>9</v>
      </c>
      <c r="I183">
        <v>62</v>
      </c>
      <c r="J183" t="str">
        <f>IF(PatientData[[#This Row],[Treatment Cost]]&gt;75000,"High Cost","Low Cost")</f>
        <v>Low Cost</v>
      </c>
      <c r="K183"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84" spans="1:11" x14ac:dyDescent="0.25">
      <c r="A184" t="s">
        <v>209</v>
      </c>
      <c r="B184" t="s">
        <v>22</v>
      </c>
      <c r="C184" t="s">
        <v>28</v>
      </c>
      <c r="D184" t="s">
        <v>17</v>
      </c>
      <c r="E184" t="s">
        <v>18</v>
      </c>
      <c r="F184">
        <v>54</v>
      </c>
      <c r="G184">
        <v>118241.71</v>
      </c>
      <c r="H184">
        <v>24</v>
      </c>
      <c r="I184">
        <v>81</v>
      </c>
      <c r="J184" t="str">
        <f>IF(PatientData[[#This Row],[Treatment Cost]]&gt;75000,"High Cost","Low Cost")</f>
        <v>High Cost</v>
      </c>
      <c r="K184"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85" spans="1:11" x14ac:dyDescent="0.25">
      <c r="A185" t="s">
        <v>210</v>
      </c>
      <c r="B185" t="s">
        <v>10</v>
      </c>
      <c r="C185" t="s">
        <v>16</v>
      </c>
      <c r="D185" t="s">
        <v>32</v>
      </c>
      <c r="E185" t="s">
        <v>18</v>
      </c>
      <c r="F185">
        <v>64</v>
      </c>
      <c r="G185">
        <v>19477.689999999999</v>
      </c>
      <c r="H185">
        <v>6</v>
      </c>
      <c r="I185">
        <v>65</v>
      </c>
      <c r="J185" t="str">
        <f>IF(PatientData[[#This Row],[Treatment Cost]]&gt;75000,"High Cost","Low Cost")</f>
        <v>Low Cost</v>
      </c>
      <c r="K185"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86" spans="1:11" x14ac:dyDescent="0.25">
      <c r="A186" t="s">
        <v>211</v>
      </c>
      <c r="B186" t="s">
        <v>36</v>
      </c>
      <c r="C186" t="s">
        <v>28</v>
      </c>
      <c r="D186" t="s">
        <v>23</v>
      </c>
      <c r="E186" t="s">
        <v>13</v>
      </c>
      <c r="F186">
        <v>77</v>
      </c>
      <c r="G186">
        <v>114541.22</v>
      </c>
      <c r="H186">
        <v>25</v>
      </c>
      <c r="I186">
        <v>69</v>
      </c>
      <c r="J186" t="str">
        <f>IF(PatientData[[#This Row],[Treatment Cost]]&gt;75000,"High Cost","Low Cost")</f>
        <v>High Cost</v>
      </c>
      <c r="K186"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87" spans="1:11" x14ac:dyDescent="0.25">
      <c r="A187" t="s">
        <v>212</v>
      </c>
      <c r="B187" t="s">
        <v>36</v>
      </c>
      <c r="C187" t="s">
        <v>11</v>
      </c>
      <c r="D187" t="s">
        <v>26</v>
      </c>
      <c r="E187" t="s">
        <v>13</v>
      </c>
      <c r="F187">
        <v>72</v>
      </c>
      <c r="G187">
        <v>56437.97</v>
      </c>
      <c r="H187">
        <v>21</v>
      </c>
      <c r="I187">
        <v>78</v>
      </c>
      <c r="J187" t="str">
        <f>IF(PatientData[[#This Row],[Treatment Cost]]&gt;75000,"High Cost","Low Cost")</f>
        <v>Low Cost</v>
      </c>
      <c r="K187"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88" spans="1:11" x14ac:dyDescent="0.25">
      <c r="A188" t="s">
        <v>213</v>
      </c>
      <c r="B188" t="s">
        <v>31</v>
      </c>
      <c r="C188" t="s">
        <v>16</v>
      </c>
      <c r="D188" t="s">
        <v>17</v>
      </c>
      <c r="E188" t="s">
        <v>18</v>
      </c>
      <c r="F188">
        <v>86</v>
      </c>
      <c r="G188">
        <v>53586.34</v>
      </c>
      <c r="H188">
        <v>22</v>
      </c>
      <c r="I188">
        <v>96</v>
      </c>
      <c r="J188" t="str">
        <f>IF(PatientData[[#This Row],[Treatment Cost]]&gt;75000,"High Cost","Low Cost")</f>
        <v>Low Cost</v>
      </c>
      <c r="K188"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189" spans="1:11" x14ac:dyDescent="0.25">
      <c r="A189" t="s">
        <v>214</v>
      </c>
      <c r="B189" t="s">
        <v>10</v>
      </c>
      <c r="C189" t="s">
        <v>41</v>
      </c>
      <c r="D189" t="s">
        <v>17</v>
      </c>
      <c r="E189" t="s">
        <v>13</v>
      </c>
      <c r="F189">
        <v>62</v>
      </c>
      <c r="G189">
        <v>13836.03</v>
      </c>
      <c r="H189">
        <v>15</v>
      </c>
      <c r="I189">
        <v>60</v>
      </c>
      <c r="J189" t="str">
        <f>IF(PatientData[[#This Row],[Treatment Cost]]&gt;75000,"High Cost","Low Cost")</f>
        <v>Low Cost</v>
      </c>
      <c r="K189"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90" spans="1:11" x14ac:dyDescent="0.25">
      <c r="A190" t="s">
        <v>215</v>
      </c>
      <c r="B190" t="s">
        <v>15</v>
      </c>
      <c r="C190" t="s">
        <v>28</v>
      </c>
      <c r="D190" t="s">
        <v>23</v>
      </c>
      <c r="E190" t="s">
        <v>18</v>
      </c>
      <c r="F190">
        <v>38</v>
      </c>
      <c r="G190">
        <v>54960.36</v>
      </c>
      <c r="H190">
        <v>26</v>
      </c>
      <c r="I190">
        <v>61</v>
      </c>
      <c r="J190" t="str">
        <f>IF(PatientData[[#This Row],[Treatment Cost]]&gt;75000,"High Cost","Low Cost")</f>
        <v>Low Cost</v>
      </c>
      <c r="K190"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91" spans="1:11" x14ac:dyDescent="0.25">
      <c r="A191" t="s">
        <v>216</v>
      </c>
      <c r="B191" t="s">
        <v>15</v>
      </c>
      <c r="C191" t="s">
        <v>16</v>
      </c>
      <c r="D191" t="s">
        <v>32</v>
      </c>
      <c r="E191" t="s">
        <v>13</v>
      </c>
      <c r="F191">
        <v>70</v>
      </c>
      <c r="G191">
        <v>92629.07</v>
      </c>
      <c r="H191">
        <v>11</v>
      </c>
      <c r="I191">
        <v>96</v>
      </c>
      <c r="J191" t="str">
        <f>IF(PatientData[[#This Row],[Treatment Cost]]&gt;75000,"High Cost","Low Cost")</f>
        <v>High Cost</v>
      </c>
      <c r="K191"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92" spans="1:11" x14ac:dyDescent="0.25">
      <c r="A192" t="s">
        <v>217</v>
      </c>
      <c r="B192" t="s">
        <v>25</v>
      </c>
      <c r="C192" t="s">
        <v>41</v>
      </c>
      <c r="D192" t="s">
        <v>32</v>
      </c>
      <c r="E192" t="s">
        <v>29</v>
      </c>
      <c r="F192">
        <v>52</v>
      </c>
      <c r="G192">
        <v>69945.08</v>
      </c>
      <c r="H192">
        <v>8</v>
      </c>
      <c r="I192">
        <v>80</v>
      </c>
      <c r="J192" t="str">
        <f>IF(PatientData[[#This Row],[Treatment Cost]]&gt;75000,"High Cost","Low Cost")</f>
        <v>Low Cost</v>
      </c>
      <c r="K192" t="str">
        <f>IF(PatientData[[#This Row],[Age]]&lt;=5,"Infant",IF(PatientData[[#This Row],[Age]]&lt;=12,"Child",IF(PatientData[[#This Row],[Age]]&lt;=19,"Teenager",IF(PatientData[[#This Row],[Age]]&lt;=29,"Young Adult", IF(PatientData[[#This Row],[Age]]&lt;=44,"Adult",IF(PatientData[[#This Row],[Age]]&lt;=59,"Middle-Age", IF(PatientData[[#This Row],[Age]]&lt;=74,"Senior","Elderly")))))))</f>
        <v>Middle-Age</v>
      </c>
    </row>
    <row r="193" spans="1:11" x14ac:dyDescent="0.25">
      <c r="A193" t="s">
        <v>218</v>
      </c>
      <c r="B193" t="s">
        <v>22</v>
      </c>
      <c r="C193" t="s">
        <v>16</v>
      </c>
      <c r="D193" t="s">
        <v>12</v>
      </c>
      <c r="E193" t="s">
        <v>13</v>
      </c>
      <c r="F193">
        <v>62</v>
      </c>
      <c r="G193">
        <v>132120.79</v>
      </c>
      <c r="H193">
        <v>25</v>
      </c>
      <c r="I193">
        <v>81</v>
      </c>
      <c r="J193" t="str">
        <f>IF(PatientData[[#This Row],[Treatment Cost]]&gt;75000,"High Cost","Low Cost")</f>
        <v>High Cost</v>
      </c>
      <c r="K193"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94" spans="1:11" x14ac:dyDescent="0.25">
      <c r="A194" t="s">
        <v>219</v>
      </c>
      <c r="B194" t="s">
        <v>22</v>
      </c>
      <c r="C194" t="s">
        <v>16</v>
      </c>
      <c r="D194" t="s">
        <v>26</v>
      </c>
      <c r="E194" t="s">
        <v>18</v>
      </c>
      <c r="F194">
        <v>22</v>
      </c>
      <c r="G194">
        <v>132726.88</v>
      </c>
      <c r="H194">
        <v>24</v>
      </c>
      <c r="I194">
        <v>54</v>
      </c>
      <c r="J194" t="str">
        <f>IF(PatientData[[#This Row],[Treatment Cost]]&gt;75000,"High Cost","Low Cost")</f>
        <v>High Cost</v>
      </c>
      <c r="K194"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195" spans="1:11" x14ac:dyDescent="0.25">
      <c r="A195" t="s">
        <v>220</v>
      </c>
      <c r="B195" t="s">
        <v>10</v>
      </c>
      <c r="C195" t="s">
        <v>16</v>
      </c>
      <c r="D195" t="s">
        <v>17</v>
      </c>
      <c r="E195" t="s">
        <v>29</v>
      </c>
      <c r="F195">
        <v>70</v>
      </c>
      <c r="G195">
        <v>40806.769999999997</v>
      </c>
      <c r="H195">
        <v>1</v>
      </c>
      <c r="I195">
        <v>51</v>
      </c>
      <c r="J195" t="str">
        <f>IF(PatientData[[#This Row],[Treatment Cost]]&gt;75000,"High Cost","Low Cost")</f>
        <v>Low Cost</v>
      </c>
      <c r="K195" t="str">
        <f>IF(PatientData[[#This Row],[Age]]&lt;=5,"Infant",IF(PatientData[[#This Row],[Age]]&lt;=12,"Child",IF(PatientData[[#This Row],[Age]]&lt;=19,"Teenager",IF(PatientData[[#This Row],[Age]]&lt;=29,"Young Adult", IF(PatientData[[#This Row],[Age]]&lt;=44,"Adult",IF(PatientData[[#This Row],[Age]]&lt;=59,"Middle-Age", IF(PatientData[[#This Row],[Age]]&lt;=74,"Senior","Elderly")))))))</f>
        <v>Senior</v>
      </c>
    </row>
    <row r="196" spans="1:11" x14ac:dyDescent="0.25">
      <c r="A196" t="s">
        <v>221</v>
      </c>
      <c r="B196" t="s">
        <v>25</v>
      </c>
      <c r="C196" t="s">
        <v>41</v>
      </c>
      <c r="D196" t="s">
        <v>32</v>
      </c>
      <c r="E196" t="s">
        <v>13</v>
      </c>
      <c r="F196">
        <v>33</v>
      </c>
      <c r="G196">
        <v>56926.38</v>
      </c>
      <c r="H196">
        <v>11</v>
      </c>
      <c r="I196">
        <v>81</v>
      </c>
      <c r="J196" t="str">
        <f>IF(PatientData[[#This Row],[Treatment Cost]]&gt;75000,"High Cost","Low Cost")</f>
        <v>Low Cost</v>
      </c>
      <c r="K196" t="str">
        <f>IF(PatientData[[#This Row],[Age]]&lt;=5,"Infant",IF(PatientData[[#This Row],[Age]]&lt;=12,"Child",IF(PatientData[[#This Row],[Age]]&lt;=19,"Teenager",IF(PatientData[[#This Row],[Age]]&lt;=29,"Young Adult", IF(PatientData[[#This Row],[Age]]&lt;=44,"Adult",IF(PatientData[[#This Row],[Age]]&lt;=59,"Middle-Age", IF(PatientData[[#This Row],[Age]]&lt;=74,"Senior","Elderly")))))))</f>
        <v>Adult</v>
      </c>
    </row>
    <row r="197" spans="1:11" x14ac:dyDescent="0.25">
      <c r="A197" t="s">
        <v>222</v>
      </c>
      <c r="B197" t="s">
        <v>22</v>
      </c>
      <c r="C197" t="s">
        <v>16</v>
      </c>
      <c r="D197" t="s">
        <v>32</v>
      </c>
      <c r="E197" t="s">
        <v>29</v>
      </c>
      <c r="F197">
        <v>1</v>
      </c>
      <c r="G197">
        <v>87386.12</v>
      </c>
      <c r="H197">
        <v>14</v>
      </c>
      <c r="I197">
        <v>63</v>
      </c>
      <c r="J197" t="str">
        <f>IF(PatientData[[#This Row],[Treatment Cost]]&gt;75000,"High Cost","Low Cost")</f>
        <v>High Cost</v>
      </c>
      <c r="K197" t="str">
        <f>IF(PatientData[[#This Row],[Age]]&lt;=5,"Infant",IF(PatientData[[#This Row],[Age]]&lt;=12,"Child",IF(PatientData[[#This Row],[Age]]&lt;=19,"Teenager",IF(PatientData[[#This Row],[Age]]&lt;=29,"Young Adult", IF(PatientData[[#This Row],[Age]]&lt;=44,"Adult",IF(PatientData[[#This Row],[Age]]&lt;=59,"Middle-Age", IF(PatientData[[#This Row],[Age]]&lt;=74,"Senior","Elderly")))))))</f>
        <v>Infant</v>
      </c>
    </row>
    <row r="198" spans="1:11" x14ac:dyDescent="0.25">
      <c r="A198" t="s">
        <v>223</v>
      </c>
      <c r="B198" t="s">
        <v>22</v>
      </c>
      <c r="C198" t="s">
        <v>28</v>
      </c>
      <c r="D198" t="s">
        <v>12</v>
      </c>
      <c r="E198" t="s">
        <v>13</v>
      </c>
      <c r="F198">
        <v>8</v>
      </c>
      <c r="G198">
        <v>7805.22</v>
      </c>
      <c r="H198">
        <v>13</v>
      </c>
      <c r="I198">
        <v>91</v>
      </c>
      <c r="J198" t="str">
        <f>IF(PatientData[[#This Row],[Treatment Cost]]&gt;75000,"High Cost","Low Cost")</f>
        <v>Low Cost</v>
      </c>
      <c r="K198" t="str">
        <f>IF(PatientData[[#This Row],[Age]]&lt;=5,"Infant",IF(PatientData[[#This Row],[Age]]&lt;=12,"Child",IF(PatientData[[#This Row],[Age]]&lt;=19,"Teenager",IF(PatientData[[#This Row],[Age]]&lt;=29,"Young Adult", IF(PatientData[[#This Row],[Age]]&lt;=44,"Adult",IF(PatientData[[#This Row],[Age]]&lt;=59,"Middle-Age", IF(PatientData[[#This Row],[Age]]&lt;=74,"Senior","Elderly")))))))</f>
        <v>Child</v>
      </c>
    </row>
    <row r="199" spans="1:11" x14ac:dyDescent="0.25">
      <c r="A199" t="s">
        <v>224</v>
      </c>
      <c r="B199" t="s">
        <v>22</v>
      </c>
      <c r="C199" t="s">
        <v>11</v>
      </c>
      <c r="D199" t="s">
        <v>17</v>
      </c>
      <c r="E199" t="s">
        <v>18</v>
      </c>
      <c r="F199">
        <v>90</v>
      </c>
      <c r="G199">
        <v>64936.83</v>
      </c>
      <c r="H199">
        <v>23</v>
      </c>
      <c r="I199">
        <v>51</v>
      </c>
      <c r="J199" t="str">
        <f>IF(PatientData[[#This Row],[Treatment Cost]]&gt;75000,"High Cost","Low Cost")</f>
        <v>Low Cost</v>
      </c>
      <c r="K199" t="str">
        <f>IF(PatientData[[#This Row],[Age]]&lt;=5,"Infant",IF(PatientData[[#This Row],[Age]]&lt;=12,"Child",IF(PatientData[[#This Row],[Age]]&lt;=19,"Teenager",IF(PatientData[[#This Row],[Age]]&lt;=29,"Young Adult", IF(PatientData[[#This Row],[Age]]&lt;=44,"Adult",IF(PatientData[[#This Row],[Age]]&lt;=59,"Middle-Age", IF(PatientData[[#This Row],[Age]]&lt;=74,"Senior","Elderly")))))))</f>
        <v>Elderly</v>
      </c>
    </row>
    <row r="200" spans="1:11" x14ac:dyDescent="0.25">
      <c r="A200" t="s">
        <v>225</v>
      </c>
      <c r="B200" t="s">
        <v>36</v>
      </c>
      <c r="C200" t="s">
        <v>41</v>
      </c>
      <c r="D200" t="s">
        <v>32</v>
      </c>
      <c r="E200" t="s">
        <v>13</v>
      </c>
      <c r="F200">
        <v>21</v>
      </c>
      <c r="G200">
        <v>57025.03</v>
      </c>
      <c r="H200">
        <v>18</v>
      </c>
      <c r="I200">
        <v>50</v>
      </c>
      <c r="J200" t="str">
        <f>IF(PatientData[[#This Row],[Treatment Cost]]&gt;75000,"High Cost","Low Cost")</f>
        <v>Low Cost</v>
      </c>
      <c r="K200" t="str">
        <f>IF(PatientData[[#This Row],[Age]]&lt;=5,"Infant",IF(PatientData[[#This Row],[Age]]&lt;=12,"Child",IF(PatientData[[#This Row],[Age]]&lt;=19,"Teenager",IF(PatientData[[#This Row],[Age]]&lt;=29,"Young Adult", IF(PatientData[[#This Row],[Age]]&lt;=44,"Adult",IF(PatientData[[#This Row],[Age]]&lt;=59,"Middle-Age", IF(PatientData[[#This Row],[Age]]&lt;=74,"Senior","Elderly")))))))</f>
        <v>Young Adult</v>
      </c>
    </row>
    <row r="201" spans="1:11" x14ac:dyDescent="0.25">
      <c r="A201" t="s">
        <v>226</v>
      </c>
      <c r="B201" t="s">
        <v>36</v>
      </c>
      <c r="C201" t="s">
        <v>41</v>
      </c>
      <c r="D201" t="s">
        <v>23</v>
      </c>
      <c r="E201" t="s">
        <v>13</v>
      </c>
      <c r="F201">
        <v>39</v>
      </c>
      <c r="G201">
        <v>145631.91</v>
      </c>
      <c r="H201">
        <v>6</v>
      </c>
      <c r="I201">
        <v>49</v>
      </c>
      <c r="J201" t="str">
        <f>IF(PatientData[[#This Row],[Treatment Cost]]&gt;75000,"High Cost","Low Cost")</f>
        <v>High Cost</v>
      </c>
      <c r="K201" t="str">
        <f>IF(PatientData[[#This Row],[Age]]&lt;=5,"Infant",IF(PatientData[[#This Row],[Age]]&lt;=12,"Child",IF(PatientData[[#This Row],[Age]]&lt;=19,"Teenager",IF(PatientData[[#This Row],[Age]]&lt;=29,"Young Adult", IF(PatientData[[#This Row],[Age]]&lt;=44,"Adult",IF(PatientData[[#This Row],[Age]]&lt;=59,"Middle-Age", IF(PatientData[[#This Row],[Age]]&lt;=74,"Senior","Elderly")))))))</f>
        <v>Adult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2A78-3E6D-4DAB-A43F-20CCC3C35041}">
  <dimension ref="A7:K245"/>
  <sheetViews>
    <sheetView workbookViewId="0">
      <selection activeCell="F38" sqref="F38"/>
    </sheetView>
  </sheetViews>
  <sheetFormatPr defaultRowHeight="15" x14ac:dyDescent="0.25"/>
  <cols>
    <col min="1" max="1" width="18.42578125" bestFit="1" customWidth="1"/>
    <col min="2" max="3" width="16.85546875" bestFit="1" customWidth="1"/>
    <col min="4" max="4" width="10.28515625" bestFit="1" customWidth="1"/>
    <col min="5" max="5" width="9.42578125" bestFit="1" customWidth="1"/>
    <col min="6" max="6" width="12.140625" bestFit="1" customWidth="1"/>
    <col min="7" max="7" width="10" bestFit="1" customWidth="1"/>
    <col min="8" max="8" width="11.28515625" bestFit="1" customWidth="1"/>
    <col min="9" max="9" width="22.140625" bestFit="1" customWidth="1"/>
    <col min="10" max="10" width="18.42578125" bestFit="1" customWidth="1"/>
    <col min="11" max="11" width="25.28515625" bestFit="1" customWidth="1"/>
    <col min="12" max="12" width="8.140625" bestFit="1" customWidth="1"/>
    <col min="13" max="13" width="11.28515625" bestFit="1" customWidth="1"/>
    <col min="14" max="86" width="3" bestFit="1" customWidth="1"/>
    <col min="87" max="87" width="11.28515625" bestFit="1" customWidth="1"/>
  </cols>
  <sheetData>
    <row r="7" spans="1:10" x14ac:dyDescent="0.25">
      <c r="A7" s="8" t="s">
        <v>231</v>
      </c>
      <c r="B7" s="8"/>
      <c r="C7" s="8"/>
      <c r="D7" s="8"/>
      <c r="E7" s="8"/>
      <c r="F7" s="8"/>
      <c r="G7" s="8"/>
      <c r="H7" s="8"/>
    </row>
    <row r="8" spans="1:10" x14ac:dyDescent="0.25">
      <c r="B8" s="2" t="s">
        <v>229</v>
      </c>
    </row>
    <row r="9" spans="1:10" x14ac:dyDescent="0.25">
      <c r="B9" t="s">
        <v>25</v>
      </c>
      <c r="C9" t="s">
        <v>10</v>
      </c>
      <c r="D9" t="s">
        <v>31</v>
      </c>
      <c r="E9" t="s">
        <v>36</v>
      </c>
      <c r="F9" t="s">
        <v>22</v>
      </c>
      <c r="G9" t="s">
        <v>15</v>
      </c>
      <c r="H9" t="s">
        <v>228</v>
      </c>
      <c r="J9" t="s">
        <v>230</v>
      </c>
    </row>
    <row r="10" spans="1:10" x14ac:dyDescent="0.25">
      <c r="A10" t="s">
        <v>230</v>
      </c>
      <c r="B10">
        <v>24</v>
      </c>
      <c r="C10">
        <v>41</v>
      </c>
      <c r="D10">
        <v>28</v>
      </c>
      <c r="E10">
        <v>31</v>
      </c>
      <c r="F10">
        <v>38</v>
      </c>
      <c r="G10">
        <v>38</v>
      </c>
      <c r="H10">
        <v>200</v>
      </c>
      <c r="J10">
        <v>200</v>
      </c>
    </row>
    <row r="12" spans="1:10" x14ac:dyDescent="0.25">
      <c r="A12" s="8" t="s">
        <v>232</v>
      </c>
      <c r="B12" s="8"/>
      <c r="C12" s="8"/>
      <c r="D12" s="8"/>
      <c r="E12" s="8"/>
      <c r="F12" s="8"/>
      <c r="J12" t="s">
        <v>248</v>
      </c>
    </row>
    <row r="13" spans="1:10" x14ac:dyDescent="0.25">
      <c r="B13" s="2" t="s">
        <v>229</v>
      </c>
      <c r="J13">
        <v>79698.513500000015</v>
      </c>
    </row>
    <row r="14" spans="1:10" x14ac:dyDescent="0.25">
      <c r="B14" t="s">
        <v>16</v>
      </c>
      <c r="C14" t="s">
        <v>28</v>
      </c>
      <c r="D14" t="s">
        <v>41</v>
      </c>
      <c r="E14" t="s">
        <v>11</v>
      </c>
      <c r="F14" t="s">
        <v>228</v>
      </c>
    </row>
    <row r="15" spans="1:10" x14ac:dyDescent="0.25">
      <c r="A15" t="s">
        <v>230</v>
      </c>
      <c r="B15">
        <v>55</v>
      </c>
      <c r="C15">
        <v>47</v>
      </c>
      <c r="D15">
        <v>48</v>
      </c>
      <c r="E15">
        <v>50</v>
      </c>
      <c r="F15">
        <v>200</v>
      </c>
    </row>
    <row r="18" spans="1:11" x14ac:dyDescent="0.25">
      <c r="A18" s="8" t="s">
        <v>233</v>
      </c>
      <c r="B18" s="8"/>
      <c r="E18" s="8" t="s">
        <v>234</v>
      </c>
      <c r="F18" s="8"/>
      <c r="G18" s="8"/>
      <c r="H18" s="8"/>
      <c r="I18" s="8"/>
    </row>
    <row r="19" spans="1:11" x14ac:dyDescent="0.25">
      <c r="A19" s="2" t="s">
        <v>227</v>
      </c>
      <c r="B19" t="s">
        <v>230</v>
      </c>
      <c r="F19" s="2" t="s">
        <v>229</v>
      </c>
    </row>
    <row r="20" spans="1:11" x14ac:dyDescent="0.25">
      <c r="A20" s="3" t="s">
        <v>26</v>
      </c>
      <c r="B20">
        <v>30</v>
      </c>
      <c r="F20" t="s">
        <v>13</v>
      </c>
      <c r="G20" t="s">
        <v>18</v>
      </c>
      <c r="H20" t="s">
        <v>29</v>
      </c>
      <c r="I20" t="s">
        <v>228</v>
      </c>
    </row>
    <row r="21" spans="1:11" x14ac:dyDescent="0.25">
      <c r="A21" s="3" t="s">
        <v>12</v>
      </c>
      <c r="B21">
        <v>46</v>
      </c>
      <c r="E21" t="s">
        <v>230</v>
      </c>
      <c r="F21">
        <v>57</v>
      </c>
      <c r="G21">
        <v>81</v>
      </c>
      <c r="H21">
        <v>62</v>
      </c>
      <c r="I21">
        <v>200</v>
      </c>
    </row>
    <row r="22" spans="1:11" x14ac:dyDescent="0.25">
      <c r="A22" s="3" t="s">
        <v>17</v>
      </c>
      <c r="B22">
        <v>41</v>
      </c>
    </row>
    <row r="23" spans="1:11" x14ac:dyDescent="0.25">
      <c r="A23" s="3" t="s">
        <v>32</v>
      </c>
      <c r="B23">
        <v>45</v>
      </c>
    </row>
    <row r="24" spans="1:11" x14ac:dyDescent="0.25">
      <c r="A24" s="3" t="s">
        <v>23</v>
      </c>
      <c r="B24">
        <v>38</v>
      </c>
      <c r="E24" s="2" t="s">
        <v>5</v>
      </c>
      <c r="F24" t="s">
        <v>230</v>
      </c>
      <c r="H24" s="2" t="s">
        <v>5</v>
      </c>
      <c r="I24" t="s">
        <v>246</v>
      </c>
    </row>
    <row r="25" spans="1:11" x14ac:dyDescent="0.25">
      <c r="A25" s="3" t="s">
        <v>228</v>
      </c>
      <c r="B25">
        <v>200</v>
      </c>
      <c r="E25" s="3" t="s">
        <v>235</v>
      </c>
      <c r="F25">
        <v>33</v>
      </c>
      <c r="H25" s="3" t="s">
        <v>16</v>
      </c>
      <c r="I25">
        <v>4441428.5599999996</v>
      </c>
    </row>
    <row r="26" spans="1:11" x14ac:dyDescent="0.25">
      <c r="E26" s="3" t="s">
        <v>236</v>
      </c>
      <c r="F26">
        <v>19</v>
      </c>
      <c r="H26" s="3" t="s">
        <v>28</v>
      </c>
      <c r="I26">
        <v>3697040.2100000004</v>
      </c>
    </row>
    <row r="27" spans="1:11" x14ac:dyDescent="0.25">
      <c r="A27" s="8" t="s">
        <v>245</v>
      </c>
      <c r="B27" s="8"/>
      <c r="E27" s="3" t="s">
        <v>237</v>
      </c>
      <c r="F27">
        <v>23</v>
      </c>
      <c r="H27" s="3" t="s">
        <v>41</v>
      </c>
      <c r="I27">
        <v>4019034.1999999997</v>
      </c>
    </row>
    <row r="28" spans="1:11" x14ac:dyDescent="0.25">
      <c r="A28" s="2" t="s">
        <v>5</v>
      </c>
      <c r="B28" t="s">
        <v>244</v>
      </c>
      <c r="E28" s="3" t="s">
        <v>238</v>
      </c>
      <c r="F28">
        <v>26</v>
      </c>
      <c r="H28" s="3" t="s">
        <v>11</v>
      </c>
      <c r="I28">
        <v>3782199.7300000004</v>
      </c>
    </row>
    <row r="29" spans="1:11" x14ac:dyDescent="0.25">
      <c r="A29" s="3" t="s">
        <v>9</v>
      </c>
      <c r="B29">
        <v>21</v>
      </c>
      <c r="E29" s="3" t="s">
        <v>239</v>
      </c>
      <c r="F29">
        <v>15</v>
      </c>
      <c r="H29" s="3" t="s">
        <v>228</v>
      </c>
      <c r="I29">
        <v>15939702.699999999</v>
      </c>
    </row>
    <row r="30" spans="1:11" x14ac:dyDescent="0.25">
      <c r="A30" s="3" t="s">
        <v>14</v>
      </c>
      <c r="B30">
        <v>20</v>
      </c>
      <c r="E30" s="3" t="s">
        <v>240</v>
      </c>
      <c r="F30">
        <v>26</v>
      </c>
    </row>
    <row r="31" spans="1:11" x14ac:dyDescent="0.25">
      <c r="A31" s="3" t="s">
        <v>19</v>
      </c>
      <c r="B31">
        <v>2</v>
      </c>
      <c r="E31" s="3" t="s">
        <v>241</v>
      </c>
      <c r="F31">
        <v>25</v>
      </c>
      <c r="J31" s="2" t="s">
        <v>1</v>
      </c>
      <c r="K31" t="s">
        <v>251</v>
      </c>
    </row>
    <row r="32" spans="1:11" x14ac:dyDescent="0.25">
      <c r="A32" s="3" t="s">
        <v>20</v>
      </c>
      <c r="B32">
        <v>20</v>
      </c>
      <c r="E32" s="3" t="s">
        <v>242</v>
      </c>
      <c r="F32">
        <v>19</v>
      </c>
      <c r="J32" s="3" t="s">
        <v>25</v>
      </c>
      <c r="K32" s="4">
        <v>70.5</v>
      </c>
    </row>
    <row r="33" spans="1:11" x14ac:dyDescent="0.25">
      <c r="A33" s="3" t="s">
        <v>21</v>
      </c>
      <c r="B33">
        <v>6</v>
      </c>
      <c r="E33" s="3" t="s">
        <v>243</v>
      </c>
      <c r="F33">
        <v>14</v>
      </c>
      <c r="H33" s="2" t="s">
        <v>5</v>
      </c>
      <c r="I33" t="s">
        <v>246</v>
      </c>
      <c r="J33" s="3" t="s">
        <v>10</v>
      </c>
      <c r="K33" s="4">
        <v>71.804878048780495</v>
      </c>
    </row>
    <row r="34" spans="1:11" x14ac:dyDescent="0.25">
      <c r="A34" s="3" t="s">
        <v>24</v>
      </c>
      <c r="B34">
        <v>9</v>
      </c>
      <c r="E34" s="3" t="s">
        <v>228</v>
      </c>
      <c r="F34">
        <v>200</v>
      </c>
      <c r="H34" s="3" t="s">
        <v>25</v>
      </c>
      <c r="I34">
        <v>1800942.18</v>
      </c>
      <c r="J34" s="3" t="s">
        <v>31</v>
      </c>
      <c r="K34" s="4">
        <v>66.392857142857139</v>
      </c>
    </row>
    <row r="35" spans="1:11" x14ac:dyDescent="0.25">
      <c r="A35" s="3" t="s">
        <v>27</v>
      </c>
      <c r="B35">
        <v>1</v>
      </c>
      <c r="H35" s="3" t="s">
        <v>10</v>
      </c>
      <c r="I35">
        <v>2972070.7799999989</v>
      </c>
      <c r="J35" s="3" t="s">
        <v>36</v>
      </c>
      <c r="K35" s="4">
        <v>72.41935483870968</v>
      </c>
    </row>
    <row r="36" spans="1:11" x14ac:dyDescent="0.25">
      <c r="A36" s="3" t="s">
        <v>30</v>
      </c>
      <c r="B36">
        <v>6</v>
      </c>
      <c r="H36" s="3" t="s">
        <v>31</v>
      </c>
      <c r="I36">
        <v>2126892.2599999998</v>
      </c>
      <c r="J36" s="3" t="s">
        <v>22</v>
      </c>
      <c r="K36" s="4">
        <v>67.263157894736835</v>
      </c>
    </row>
    <row r="37" spans="1:11" x14ac:dyDescent="0.25">
      <c r="A37" s="3" t="s">
        <v>33</v>
      </c>
      <c r="B37">
        <v>9</v>
      </c>
      <c r="H37" s="3" t="s">
        <v>36</v>
      </c>
      <c r="I37">
        <v>2778018.7199999993</v>
      </c>
      <c r="J37" s="3" t="s">
        <v>15</v>
      </c>
      <c r="K37" s="4">
        <v>73.131578947368425</v>
      </c>
    </row>
    <row r="38" spans="1:11" x14ac:dyDescent="0.25">
      <c r="A38" s="3" t="s">
        <v>34</v>
      </c>
      <c r="B38">
        <v>24</v>
      </c>
      <c r="E38" s="2" t="s">
        <v>5</v>
      </c>
      <c r="F38" t="s">
        <v>246</v>
      </c>
      <c r="H38" s="3" t="s">
        <v>22</v>
      </c>
      <c r="I38">
        <v>3405317.6399999997</v>
      </c>
      <c r="J38" s="3" t="s">
        <v>228</v>
      </c>
      <c r="K38" s="4">
        <v>70.375</v>
      </c>
    </row>
    <row r="39" spans="1:11" x14ac:dyDescent="0.25">
      <c r="A39" s="3" t="s">
        <v>35</v>
      </c>
      <c r="B39">
        <v>15</v>
      </c>
      <c r="E39" s="3" t="s">
        <v>9</v>
      </c>
      <c r="F39">
        <v>68632.97</v>
      </c>
      <c r="H39" s="3" t="s">
        <v>15</v>
      </c>
      <c r="I39">
        <v>2856461.1199999996</v>
      </c>
    </row>
    <row r="40" spans="1:11" x14ac:dyDescent="0.25">
      <c r="A40" s="3" t="s">
        <v>37</v>
      </c>
      <c r="B40">
        <v>11</v>
      </c>
      <c r="E40" s="3" t="s">
        <v>14</v>
      </c>
      <c r="F40">
        <v>10231.42</v>
      </c>
      <c r="H40" s="3" t="s">
        <v>228</v>
      </c>
      <c r="I40">
        <v>15939702.699999997</v>
      </c>
    </row>
    <row r="41" spans="1:11" x14ac:dyDescent="0.25">
      <c r="A41" s="3" t="s">
        <v>38</v>
      </c>
      <c r="B41">
        <v>28</v>
      </c>
      <c r="E41" s="3" t="s">
        <v>19</v>
      </c>
      <c r="F41">
        <v>10160.24</v>
      </c>
    </row>
    <row r="42" spans="1:11" x14ac:dyDescent="0.25">
      <c r="A42" s="3" t="s">
        <v>39</v>
      </c>
      <c r="B42">
        <v>19</v>
      </c>
      <c r="E42" s="3" t="s">
        <v>20</v>
      </c>
      <c r="F42">
        <v>103508.96</v>
      </c>
    </row>
    <row r="43" spans="1:11" x14ac:dyDescent="0.25">
      <c r="A43" s="3" t="s">
        <v>40</v>
      </c>
      <c r="B43">
        <v>28</v>
      </c>
      <c r="E43" s="3" t="s">
        <v>21</v>
      </c>
      <c r="F43">
        <v>143427.51999999999</v>
      </c>
    </row>
    <row r="44" spans="1:11" x14ac:dyDescent="0.25">
      <c r="A44" s="3" t="s">
        <v>42</v>
      </c>
      <c r="B44">
        <v>27</v>
      </c>
      <c r="E44" s="3" t="s">
        <v>24</v>
      </c>
      <c r="F44">
        <v>146252.19</v>
      </c>
      <c r="H44" s="2" t="s">
        <v>5</v>
      </c>
      <c r="I44" t="s">
        <v>247</v>
      </c>
    </row>
    <row r="45" spans="1:11" x14ac:dyDescent="0.25">
      <c r="A45" s="3" t="s">
        <v>43</v>
      </c>
      <c r="B45">
        <v>8</v>
      </c>
      <c r="E45" s="3" t="s">
        <v>27</v>
      </c>
      <c r="F45">
        <v>54393.48</v>
      </c>
      <c r="H45" s="3" t="s">
        <v>9</v>
      </c>
      <c r="I45">
        <v>82</v>
      </c>
    </row>
    <row r="46" spans="1:11" x14ac:dyDescent="0.25">
      <c r="A46" s="3" t="s">
        <v>44</v>
      </c>
      <c r="B46">
        <v>30</v>
      </c>
      <c r="E46" s="3" t="s">
        <v>30</v>
      </c>
      <c r="F46">
        <v>30452.22</v>
      </c>
      <c r="H46" s="3" t="s">
        <v>14</v>
      </c>
      <c r="I46">
        <v>42</v>
      </c>
    </row>
    <row r="47" spans="1:11" x14ac:dyDescent="0.25">
      <c r="A47" s="3" t="s">
        <v>45</v>
      </c>
      <c r="B47">
        <v>24</v>
      </c>
      <c r="E47" s="3" t="s">
        <v>33</v>
      </c>
      <c r="F47">
        <v>79517.25</v>
      </c>
      <c r="H47" s="3" t="s">
        <v>19</v>
      </c>
      <c r="I47">
        <v>72</v>
      </c>
    </row>
    <row r="48" spans="1:11" x14ac:dyDescent="0.25">
      <c r="A48" s="3" t="s">
        <v>46</v>
      </c>
      <c r="B48">
        <v>30</v>
      </c>
      <c r="E48" s="3" t="s">
        <v>34</v>
      </c>
      <c r="F48">
        <v>116558.38</v>
      </c>
      <c r="H48" s="3" t="s">
        <v>20</v>
      </c>
      <c r="I48">
        <v>50</v>
      </c>
    </row>
    <row r="49" spans="1:9" x14ac:dyDescent="0.25">
      <c r="A49" s="3" t="s">
        <v>47</v>
      </c>
      <c r="B49">
        <v>15</v>
      </c>
      <c r="E49" s="3" t="s">
        <v>35</v>
      </c>
      <c r="F49">
        <v>135883.74</v>
      </c>
      <c r="H49" s="3" t="s">
        <v>21</v>
      </c>
      <c r="I49">
        <v>43</v>
      </c>
    </row>
    <row r="50" spans="1:9" x14ac:dyDescent="0.25">
      <c r="A50" s="3" t="s">
        <v>48</v>
      </c>
      <c r="B50">
        <v>11</v>
      </c>
      <c r="E50" s="3" t="s">
        <v>37</v>
      </c>
      <c r="F50">
        <v>148179.98000000001</v>
      </c>
      <c r="H50" s="3" t="s">
        <v>24</v>
      </c>
      <c r="I50">
        <v>41</v>
      </c>
    </row>
    <row r="51" spans="1:9" x14ac:dyDescent="0.25">
      <c r="A51" s="3" t="s">
        <v>49</v>
      </c>
      <c r="B51">
        <v>5</v>
      </c>
      <c r="E51" s="3" t="s">
        <v>38</v>
      </c>
      <c r="F51">
        <v>20591.650000000001</v>
      </c>
      <c r="H51" s="3" t="s">
        <v>27</v>
      </c>
      <c r="I51">
        <v>42</v>
      </c>
    </row>
    <row r="52" spans="1:9" x14ac:dyDescent="0.25">
      <c r="A52" s="3" t="s">
        <v>50</v>
      </c>
      <c r="B52">
        <v>28</v>
      </c>
      <c r="E52" s="3" t="s">
        <v>39</v>
      </c>
      <c r="F52">
        <v>59149.07</v>
      </c>
      <c r="H52" s="3" t="s">
        <v>30</v>
      </c>
      <c r="I52">
        <v>77</v>
      </c>
    </row>
    <row r="53" spans="1:9" x14ac:dyDescent="0.25">
      <c r="A53" s="3" t="s">
        <v>51</v>
      </c>
      <c r="B53">
        <v>24</v>
      </c>
      <c r="E53" s="3" t="s">
        <v>40</v>
      </c>
      <c r="F53">
        <v>59335.72</v>
      </c>
      <c r="H53" s="3" t="s">
        <v>33</v>
      </c>
      <c r="I53">
        <v>62</v>
      </c>
    </row>
    <row r="54" spans="1:9" x14ac:dyDescent="0.25">
      <c r="A54" s="3" t="s">
        <v>52</v>
      </c>
      <c r="B54">
        <v>3</v>
      </c>
      <c r="E54" s="3" t="s">
        <v>42</v>
      </c>
      <c r="F54">
        <v>101936.34</v>
      </c>
      <c r="H54" s="3" t="s">
        <v>34</v>
      </c>
      <c r="I54">
        <v>48</v>
      </c>
    </row>
    <row r="55" spans="1:9" x14ac:dyDescent="0.25">
      <c r="A55" s="3" t="s">
        <v>53</v>
      </c>
      <c r="B55">
        <v>25</v>
      </c>
      <c r="E55" s="3" t="s">
        <v>43</v>
      </c>
      <c r="F55">
        <v>107481.12</v>
      </c>
      <c r="H55" s="3" t="s">
        <v>35</v>
      </c>
      <c r="I55">
        <v>54</v>
      </c>
    </row>
    <row r="56" spans="1:9" x14ac:dyDescent="0.25">
      <c r="A56" s="3" t="s">
        <v>54</v>
      </c>
      <c r="B56">
        <v>30</v>
      </c>
      <c r="E56" s="3" t="s">
        <v>44</v>
      </c>
      <c r="F56">
        <v>142574.53</v>
      </c>
      <c r="H56" s="3" t="s">
        <v>37</v>
      </c>
      <c r="I56">
        <v>87</v>
      </c>
    </row>
    <row r="57" spans="1:9" x14ac:dyDescent="0.25">
      <c r="A57" s="3" t="s">
        <v>55</v>
      </c>
      <c r="B57">
        <v>9</v>
      </c>
      <c r="E57" s="3" t="s">
        <v>45</v>
      </c>
      <c r="F57">
        <v>43174.44</v>
      </c>
      <c r="H57" s="3" t="s">
        <v>38</v>
      </c>
      <c r="I57">
        <v>52</v>
      </c>
    </row>
    <row r="58" spans="1:9" x14ac:dyDescent="0.25">
      <c r="A58" s="3" t="s">
        <v>56</v>
      </c>
      <c r="B58">
        <v>3</v>
      </c>
      <c r="E58" s="3" t="s">
        <v>46</v>
      </c>
      <c r="F58">
        <v>125171.58</v>
      </c>
      <c r="H58" s="3" t="s">
        <v>39</v>
      </c>
      <c r="I58">
        <v>86</v>
      </c>
    </row>
    <row r="59" spans="1:9" x14ac:dyDescent="0.25">
      <c r="A59" s="3" t="s">
        <v>57</v>
      </c>
      <c r="B59">
        <v>16</v>
      </c>
      <c r="E59" s="3" t="s">
        <v>47</v>
      </c>
      <c r="F59">
        <v>51842.34</v>
      </c>
      <c r="H59" s="3" t="s">
        <v>40</v>
      </c>
      <c r="I59">
        <v>80</v>
      </c>
    </row>
    <row r="60" spans="1:9" x14ac:dyDescent="0.25">
      <c r="A60" s="3" t="s">
        <v>58</v>
      </c>
      <c r="B60">
        <v>1</v>
      </c>
      <c r="E60" s="3" t="s">
        <v>48</v>
      </c>
      <c r="F60">
        <v>30547.73</v>
      </c>
      <c r="H60" s="3" t="s">
        <v>42</v>
      </c>
      <c r="I60">
        <v>99</v>
      </c>
    </row>
    <row r="61" spans="1:9" x14ac:dyDescent="0.25">
      <c r="A61" s="3" t="s">
        <v>59</v>
      </c>
      <c r="B61">
        <v>4</v>
      </c>
      <c r="E61" s="3" t="s">
        <v>49</v>
      </c>
      <c r="F61">
        <v>68961.679999999993</v>
      </c>
      <c r="H61" s="3" t="s">
        <v>43</v>
      </c>
      <c r="I61">
        <v>93</v>
      </c>
    </row>
    <row r="62" spans="1:9" x14ac:dyDescent="0.25">
      <c r="A62" s="3" t="s">
        <v>60</v>
      </c>
      <c r="B62">
        <v>6</v>
      </c>
      <c r="E62" s="3" t="s">
        <v>50</v>
      </c>
      <c r="F62">
        <v>89887.05</v>
      </c>
      <c r="H62" s="3" t="s">
        <v>44</v>
      </c>
      <c r="I62">
        <v>99</v>
      </c>
    </row>
    <row r="63" spans="1:9" x14ac:dyDescent="0.25">
      <c r="A63" s="3" t="s">
        <v>61</v>
      </c>
      <c r="B63">
        <v>30</v>
      </c>
      <c r="E63" s="3" t="s">
        <v>51</v>
      </c>
      <c r="F63">
        <v>54350.5</v>
      </c>
      <c r="H63" s="3" t="s">
        <v>45</v>
      </c>
      <c r="I63">
        <v>100</v>
      </c>
    </row>
    <row r="64" spans="1:9" x14ac:dyDescent="0.25">
      <c r="A64" s="3" t="s">
        <v>62</v>
      </c>
      <c r="B64">
        <v>16</v>
      </c>
      <c r="E64" s="3" t="s">
        <v>52</v>
      </c>
      <c r="F64">
        <v>47635.12</v>
      </c>
      <c r="H64" s="3" t="s">
        <v>46</v>
      </c>
      <c r="I64">
        <v>89</v>
      </c>
    </row>
    <row r="65" spans="1:9" x14ac:dyDescent="0.25">
      <c r="A65" s="3" t="s">
        <v>63</v>
      </c>
      <c r="B65">
        <v>1</v>
      </c>
      <c r="E65" s="3" t="s">
        <v>53</v>
      </c>
      <c r="F65">
        <v>136077.99</v>
      </c>
      <c r="H65" s="3" t="s">
        <v>47</v>
      </c>
      <c r="I65">
        <v>74</v>
      </c>
    </row>
    <row r="66" spans="1:9" x14ac:dyDescent="0.25">
      <c r="A66" s="3" t="s">
        <v>64</v>
      </c>
      <c r="B66">
        <v>15</v>
      </c>
      <c r="E66" s="3" t="s">
        <v>54</v>
      </c>
      <c r="F66">
        <v>103276.56</v>
      </c>
      <c r="H66" s="3" t="s">
        <v>48</v>
      </c>
      <c r="I66">
        <v>47</v>
      </c>
    </row>
    <row r="67" spans="1:9" x14ac:dyDescent="0.25">
      <c r="A67" s="3" t="s">
        <v>65</v>
      </c>
      <c r="B67">
        <v>1</v>
      </c>
      <c r="E67" s="3" t="s">
        <v>55</v>
      </c>
      <c r="F67">
        <v>38676.85</v>
      </c>
      <c r="H67" s="3" t="s">
        <v>49</v>
      </c>
      <c r="I67">
        <v>67</v>
      </c>
    </row>
    <row r="68" spans="1:9" x14ac:dyDescent="0.25">
      <c r="A68" s="3" t="s">
        <v>66</v>
      </c>
      <c r="B68">
        <v>28</v>
      </c>
      <c r="E68" s="3" t="s">
        <v>56</v>
      </c>
      <c r="F68">
        <v>35788.22</v>
      </c>
      <c r="H68" s="3" t="s">
        <v>50</v>
      </c>
      <c r="I68">
        <v>92</v>
      </c>
    </row>
    <row r="69" spans="1:9" x14ac:dyDescent="0.25">
      <c r="A69" s="3" t="s">
        <v>67</v>
      </c>
      <c r="B69">
        <v>8</v>
      </c>
      <c r="E69" s="3" t="s">
        <v>57</v>
      </c>
      <c r="F69">
        <v>140415.63</v>
      </c>
      <c r="H69" s="3" t="s">
        <v>51</v>
      </c>
      <c r="I69">
        <v>70</v>
      </c>
    </row>
    <row r="70" spans="1:9" x14ac:dyDescent="0.25">
      <c r="A70" s="3" t="s">
        <v>68</v>
      </c>
      <c r="B70">
        <v>3</v>
      </c>
      <c r="E70" s="3" t="s">
        <v>58</v>
      </c>
      <c r="F70">
        <v>143365.82999999999</v>
      </c>
      <c r="H70" s="3" t="s">
        <v>52</v>
      </c>
      <c r="I70">
        <v>47</v>
      </c>
    </row>
    <row r="71" spans="1:9" x14ac:dyDescent="0.25">
      <c r="A71" s="3" t="s">
        <v>69</v>
      </c>
      <c r="B71">
        <v>29</v>
      </c>
      <c r="E71" s="3" t="s">
        <v>59</v>
      </c>
      <c r="F71">
        <v>101058.07</v>
      </c>
      <c r="H71" s="3" t="s">
        <v>53</v>
      </c>
      <c r="I71">
        <v>58</v>
      </c>
    </row>
    <row r="72" spans="1:9" x14ac:dyDescent="0.25">
      <c r="A72" s="3" t="s">
        <v>70</v>
      </c>
      <c r="B72">
        <v>18</v>
      </c>
      <c r="E72" s="3" t="s">
        <v>60</v>
      </c>
      <c r="F72">
        <v>41426.04</v>
      </c>
      <c r="H72" s="3" t="s">
        <v>54</v>
      </c>
      <c r="I72">
        <v>84</v>
      </c>
    </row>
    <row r="73" spans="1:9" x14ac:dyDescent="0.25">
      <c r="A73" s="3" t="s">
        <v>71</v>
      </c>
      <c r="B73">
        <v>26</v>
      </c>
      <c r="E73" s="3" t="s">
        <v>61</v>
      </c>
      <c r="F73">
        <v>131454.59</v>
      </c>
      <c r="H73" s="3" t="s">
        <v>55</v>
      </c>
      <c r="I73">
        <v>70</v>
      </c>
    </row>
    <row r="74" spans="1:9" x14ac:dyDescent="0.25">
      <c r="A74" s="3" t="s">
        <v>72</v>
      </c>
      <c r="B74">
        <v>17</v>
      </c>
      <c r="E74" s="3" t="s">
        <v>62</v>
      </c>
      <c r="F74">
        <v>48581.36</v>
      </c>
      <c r="H74" s="3" t="s">
        <v>56</v>
      </c>
      <c r="I74">
        <v>66</v>
      </c>
    </row>
    <row r="75" spans="1:9" x14ac:dyDescent="0.25">
      <c r="A75" s="3" t="s">
        <v>73</v>
      </c>
      <c r="B75">
        <v>24</v>
      </c>
      <c r="E75" s="3" t="s">
        <v>63</v>
      </c>
      <c r="F75">
        <v>143381.07</v>
      </c>
      <c r="H75" s="3" t="s">
        <v>57</v>
      </c>
      <c r="I75">
        <v>67</v>
      </c>
    </row>
    <row r="76" spans="1:9" x14ac:dyDescent="0.25">
      <c r="A76" s="3" t="s">
        <v>74</v>
      </c>
      <c r="B76">
        <v>21</v>
      </c>
      <c r="E76" s="3" t="s">
        <v>64</v>
      </c>
      <c r="F76">
        <v>50045.440000000002</v>
      </c>
      <c r="H76" s="3" t="s">
        <v>58</v>
      </c>
      <c r="I76">
        <v>58</v>
      </c>
    </row>
    <row r="77" spans="1:9" x14ac:dyDescent="0.25">
      <c r="A77" s="3" t="s">
        <v>75</v>
      </c>
      <c r="B77">
        <v>18</v>
      </c>
      <c r="E77" s="3" t="s">
        <v>65</v>
      </c>
      <c r="F77">
        <v>86479.95</v>
      </c>
      <c r="H77" s="3" t="s">
        <v>59</v>
      </c>
      <c r="I77">
        <v>81</v>
      </c>
    </row>
    <row r="78" spans="1:9" x14ac:dyDescent="0.25">
      <c r="A78" s="3" t="s">
        <v>76</v>
      </c>
      <c r="B78">
        <v>3</v>
      </c>
      <c r="E78" s="3" t="s">
        <v>66</v>
      </c>
      <c r="F78">
        <v>9067.3799999999992</v>
      </c>
      <c r="H78" s="3" t="s">
        <v>60</v>
      </c>
      <c r="I78">
        <v>67</v>
      </c>
    </row>
    <row r="79" spans="1:9" x14ac:dyDescent="0.25">
      <c r="A79" s="3" t="s">
        <v>77</v>
      </c>
      <c r="B79">
        <v>6</v>
      </c>
      <c r="E79" s="3" t="s">
        <v>67</v>
      </c>
      <c r="F79">
        <v>113414.83</v>
      </c>
      <c r="H79" s="3" t="s">
        <v>61</v>
      </c>
      <c r="I79">
        <v>83</v>
      </c>
    </row>
    <row r="80" spans="1:9" x14ac:dyDescent="0.25">
      <c r="A80" s="3" t="s">
        <v>78</v>
      </c>
      <c r="B80">
        <v>17</v>
      </c>
      <c r="E80" s="3" t="s">
        <v>68</v>
      </c>
      <c r="F80">
        <v>78946.19</v>
      </c>
      <c r="H80" s="3" t="s">
        <v>62</v>
      </c>
      <c r="I80">
        <v>40</v>
      </c>
    </row>
    <row r="81" spans="1:9" x14ac:dyDescent="0.25">
      <c r="A81" s="3" t="s">
        <v>79</v>
      </c>
      <c r="B81">
        <v>23</v>
      </c>
      <c r="E81" s="3" t="s">
        <v>69</v>
      </c>
      <c r="F81">
        <v>100035.91</v>
      </c>
      <c r="H81" s="3" t="s">
        <v>63</v>
      </c>
      <c r="I81">
        <v>87</v>
      </c>
    </row>
    <row r="82" spans="1:9" x14ac:dyDescent="0.25">
      <c r="A82" s="3" t="s">
        <v>80</v>
      </c>
      <c r="B82">
        <v>2</v>
      </c>
      <c r="E82" s="3" t="s">
        <v>70</v>
      </c>
      <c r="F82">
        <v>149340.16</v>
      </c>
      <c r="H82" s="3" t="s">
        <v>64</v>
      </c>
      <c r="I82">
        <v>84</v>
      </c>
    </row>
    <row r="83" spans="1:9" x14ac:dyDescent="0.25">
      <c r="A83" s="3" t="s">
        <v>81</v>
      </c>
      <c r="B83">
        <v>5</v>
      </c>
      <c r="E83" s="3" t="s">
        <v>71</v>
      </c>
      <c r="F83">
        <v>105328.19</v>
      </c>
      <c r="H83" s="3" t="s">
        <v>65</v>
      </c>
      <c r="I83">
        <v>75</v>
      </c>
    </row>
    <row r="84" spans="1:9" x14ac:dyDescent="0.25">
      <c r="A84" s="3" t="s">
        <v>82</v>
      </c>
      <c r="B84">
        <v>8</v>
      </c>
      <c r="E84" s="3" t="s">
        <v>72</v>
      </c>
      <c r="F84">
        <v>21826.12</v>
      </c>
      <c r="H84" s="3" t="s">
        <v>66</v>
      </c>
      <c r="I84">
        <v>86</v>
      </c>
    </row>
    <row r="85" spans="1:9" x14ac:dyDescent="0.25">
      <c r="A85" s="3" t="s">
        <v>83</v>
      </c>
      <c r="B85">
        <v>30</v>
      </c>
      <c r="E85" s="3" t="s">
        <v>73</v>
      </c>
      <c r="F85">
        <v>77556.53</v>
      </c>
      <c r="H85" s="3" t="s">
        <v>67</v>
      </c>
      <c r="I85">
        <v>70</v>
      </c>
    </row>
    <row r="86" spans="1:9" x14ac:dyDescent="0.25">
      <c r="A86" s="3" t="s">
        <v>84</v>
      </c>
      <c r="B86">
        <v>16</v>
      </c>
      <c r="E86" s="3" t="s">
        <v>74</v>
      </c>
      <c r="F86">
        <v>53806.86</v>
      </c>
      <c r="H86" s="3" t="s">
        <v>68</v>
      </c>
      <c r="I86">
        <v>48</v>
      </c>
    </row>
    <row r="87" spans="1:9" x14ac:dyDescent="0.25">
      <c r="A87" s="3" t="s">
        <v>85</v>
      </c>
      <c r="B87">
        <v>30</v>
      </c>
      <c r="E87" s="3" t="s">
        <v>75</v>
      </c>
      <c r="F87">
        <v>84096.91</v>
      </c>
      <c r="H87" s="3" t="s">
        <v>69</v>
      </c>
      <c r="I87">
        <v>70</v>
      </c>
    </row>
    <row r="88" spans="1:9" x14ac:dyDescent="0.25">
      <c r="A88" s="3" t="s">
        <v>86</v>
      </c>
      <c r="B88">
        <v>26</v>
      </c>
      <c r="E88" s="3" t="s">
        <v>76</v>
      </c>
      <c r="F88">
        <v>46384.67</v>
      </c>
      <c r="H88" s="3" t="s">
        <v>70</v>
      </c>
      <c r="I88">
        <v>49</v>
      </c>
    </row>
    <row r="89" spans="1:9" x14ac:dyDescent="0.25">
      <c r="A89" s="3" t="s">
        <v>87</v>
      </c>
      <c r="B89">
        <v>20</v>
      </c>
      <c r="E89" s="3" t="s">
        <v>77</v>
      </c>
      <c r="F89">
        <v>122442.43</v>
      </c>
      <c r="H89" s="3" t="s">
        <v>71</v>
      </c>
      <c r="I89">
        <v>94</v>
      </c>
    </row>
    <row r="90" spans="1:9" x14ac:dyDescent="0.25">
      <c r="A90" s="3" t="s">
        <v>88</v>
      </c>
      <c r="B90">
        <v>29</v>
      </c>
      <c r="E90" s="3" t="s">
        <v>78</v>
      </c>
      <c r="F90">
        <v>73863.679999999993</v>
      </c>
      <c r="H90" s="3" t="s">
        <v>72</v>
      </c>
      <c r="I90">
        <v>48</v>
      </c>
    </row>
    <row r="91" spans="1:9" x14ac:dyDescent="0.25">
      <c r="A91" s="3" t="s">
        <v>89</v>
      </c>
      <c r="B91">
        <v>22</v>
      </c>
      <c r="E91" s="3" t="s">
        <v>79</v>
      </c>
      <c r="F91">
        <v>75334.19</v>
      </c>
      <c r="H91" s="3" t="s">
        <v>73</v>
      </c>
      <c r="I91">
        <v>87</v>
      </c>
    </row>
    <row r="92" spans="1:9" x14ac:dyDescent="0.25">
      <c r="A92" s="3" t="s">
        <v>90</v>
      </c>
      <c r="B92">
        <v>7</v>
      </c>
      <c r="E92" s="3" t="s">
        <v>80</v>
      </c>
      <c r="F92">
        <v>59829.99</v>
      </c>
      <c r="H92" s="3" t="s">
        <v>74</v>
      </c>
      <c r="I92">
        <v>82</v>
      </c>
    </row>
    <row r="93" spans="1:9" x14ac:dyDescent="0.25">
      <c r="A93" s="3" t="s">
        <v>91</v>
      </c>
      <c r="B93">
        <v>25</v>
      </c>
      <c r="E93" s="3" t="s">
        <v>81</v>
      </c>
      <c r="F93">
        <v>5444.8</v>
      </c>
      <c r="H93" s="3" t="s">
        <v>75</v>
      </c>
      <c r="I93">
        <v>91</v>
      </c>
    </row>
    <row r="94" spans="1:9" x14ac:dyDescent="0.25">
      <c r="A94" s="3" t="s">
        <v>92</v>
      </c>
      <c r="B94">
        <v>5</v>
      </c>
      <c r="E94" s="3" t="s">
        <v>82</v>
      </c>
      <c r="F94">
        <v>39022.85</v>
      </c>
      <c r="H94" s="3" t="s">
        <v>76</v>
      </c>
      <c r="I94">
        <v>84</v>
      </c>
    </row>
    <row r="95" spans="1:9" x14ac:dyDescent="0.25">
      <c r="A95" s="3" t="s">
        <v>93</v>
      </c>
      <c r="B95">
        <v>9</v>
      </c>
      <c r="E95" s="3" t="s">
        <v>83</v>
      </c>
      <c r="F95">
        <v>127110.45</v>
      </c>
      <c r="H95" s="3" t="s">
        <v>77</v>
      </c>
      <c r="I95">
        <v>94</v>
      </c>
    </row>
    <row r="96" spans="1:9" x14ac:dyDescent="0.25">
      <c r="A96" s="3" t="s">
        <v>94</v>
      </c>
      <c r="B96">
        <v>8</v>
      </c>
      <c r="E96" s="3" t="s">
        <v>84</v>
      </c>
      <c r="F96">
        <v>120082.46</v>
      </c>
      <c r="H96" s="3" t="s">
        <v>78</v>
      </c>
      <c r="I96">
        <v>42</v>
      </c>
    </row>
    <row r="97" spans="1:9" x14ac:dyDescent="0.25">
      <c r="A97" s="3" t="s">
        <v>95</v>
      </c>
      <c r="B97">
        <v>29</v>
      </c>
      <c r="E97" s="3" t="s">
        <v>85</v>
      </c>
      <c r="F97">
        <v>79671.37</v>
      </c>
      <c r="H97" s="3" t="s">
        <v>79</v>
      </c>
      <c r="I97">
        <v>51</v>
      </c>
    </row>
    <row r="98" spans="1:9" x14ac:dyDescent="0.25">
      <c r="A98" s="3" t="s">
        <v>96</v>
      </c>
      <c r="B98">
        <v>11</v>
      </c>
      <c r="E98" s="3" t="s">
        <v>86</v>
      </c>
      <c r="F98">
        <v>66277.52</v>
      </c>
      <c r="H98" s="3" t="s">
        <v>80</v>
      </c>
      <c r="I98">
        <v>40</v>
      </c>
    </row>
    <row r="99" spans="1:9" x14ac:dyDescent="0.25">
      <c r="A99" s="3" t="s">
        <v>97</v>
      </c>
      <c r="B99">
        <v>21</v>
      </c>
      <c r="E99" s="3" t="s">
        <v>87</v>
      </c>
      <c r="F99">
        <v>12241.3</v>
      </c>
      <c r="H99" s="3" t="s">
        <v>81</v>
      </c>
      <c r="I99">
        <v>42</v>
      </c>
    </row>
    <row r="100" spans="1:9" x14ac:dyDescent="0.25">
      <c r="A100" s="3" t="s">
        <v>98</v>
      </c>
      <c r="B100">
        <v>17</v>
      </c>
      <c r="E100" s="3" t="s">
        <v>88</v>
      </c>
      <c r="F100">
        <v>133882.43</v>
      </c>
      <c r="H100" s="3" t="s">
        <v>82</v>
      </c>
      <c r="I100">
        <v>96</v>
      </c>
    </row>
    <row r="101" spans="1:9" x14ac:dyDescent="0.25">
      <c r="A101" s="3" t="s">
        <v>99</v>
      </c>
      <c r="B101">
        <v>28</v>
      </c>
      <c r="E101" s="3" t="s">
        <v>89</v>
      </c>
      <c r="F101">
        <v>148488.95000000001</v>
      </c>
      <c r="H101" s="3" t="s">
        <v>83</v>
      </c>
      <c r="I101">
        <v>100</v>
      </c>
    </row>
    <row r="102" spans="1:9" x14ac:dyDescent="0.25">
      <c r="A102" s="3" t="s">
        <v>100</v>
      </c>
      <c r="B102">
        <v>30</v>
      </c>
      <c r="E102" s="3" t="s">
        <v>90</v>
      </c>
      <c r="F102">
        <v>74239.37</v>
      </c>
      <c r="H102" s="3" t="s">
        <v>84</v>
      </c>
      <c r="I102">
        <v>93</v>
      </c>
    </row>
    <row r="103" spans="1:9" x14ac:dyDescent="0.25">
      <c r="A103" s="3" t="s">
        <v>101</v>
      </c>
      <c r="B103">
        <v>16</v>
      </c>
      <c r="E103" s="3" t="s">
        <v>91</v>
      </c>
      <c r="F103">
        <v>98732.94</v>
      </c>
      <c r="H103" s="3" t="s">
        <v>85</v>
      </c>
      <c r="I103">
        <v>43</v>
      </c>
    </row>
    <row r="104" spans="1:9" x14ac:dyDescent="0.25">
      <c r="A104" s="3" t="s">
        <v>102</v>
      </c>
      <c r="B104">
        <v>26</v>
      </c>
      <c r="E104" s="3" t="s">
        <v>92</v>
      </c>
      <c r="F104">
        <v>66339.33</v>
      </c>
      <c r="H104" s="3" t="s">
        <v>86</v>
      </c>
      <c r="I104">
        <v>69</v>
      </c>
    </row>
    <row r="105" spans="1:9" x14ac:dyDescent="0.25">
      <c r="A105" s="3" t="s">
        <v>103</v>
      </c>
      <c r="B105">
        <v>6</v>
      </c>
      <c r="E105" s="3" t="s">
        <v>93</v>
      </c>
      <c r="F105">
        <v>113363.27</v>
      </c>
      <c r="H105" s="3" t="s">
        <v>87</v>
      </c>
      <c r="I105">
        <v>40</v>
      </c>
    </row>
    <row r="106" spans="1:9" x14ac:dyDescent="0.25">
      <c r="A106" s="3" t="s">
        <v>104</v>
      </c>
      <c r="B106">
        <v>26</v>
      </c>
      <c r="E106" s="3" t="s">
        <v>94</v>
      </c>
      <c r="F106">
        <v>24492.09</v>
      </c>
      <c r="H106" s="3" t="s">
        <v>88</v>
      </c>
      <c r="I106">
        <v>63</v>
      </c>
    </row>
    <row r="107" spans="1:9" x14ac:dyDescent="0.25">
      <c r="A107" s="3" t="s">
        <v>105</v>
      </c>
      <c r="B107">
        <v>28</v>
      </c>
      <c r="E107" s="3" t="s">
        <v>95</v>
      </c>
      <c r="F107">
        <v>42080.85</v>
      </c>
      <c r="H107" s="3" t="s">
        <v>89</v>
      </c>
      <c r="I107">
        <v>77</v>
      </c>
    </row>
    <row r="108" spans="1:9" x14ac:dyDescent="0.25">
      <c r="A108" s="3" t="s">
        <v>106</v>
      </c>
      <c r="B108">
        <v>11</v>
      </c>
      <c r="E108" s="3" t="s">
        <v>96</v>
      </c>
      <c r="F108">
        <v>147658.16</v>
      </c>
      <c r="H108" s="3" t="s">
        <v>90</v>
      </c>
      <c r="I108">
        <v>61</v>
      </c>
    </row>
    <row r="109" spans="1:9" x14ac:dyDescent="0.25">
      <c r="A109" s="3" t="s">
        <v>107</v>
      </c>
      <c r="B109">
        <v>14</v>
      </c>
      <c r="E109" s="3" t="s">
        <v>97</v>
      </c>
      <c r="F109">
        <v>79386.600000000006</v>
      </c>
      <c r="H109" s="3" t="s">
        <v>91</v>
      </c>
      <c r="I109">
        <v>45</v>
      </c>
    </row>
    <row r="110" spans="1:9" x14ac:dyDescent="0.25">
      <c r="A110" s="3" t="s">
        <v>108</v>
      </c>
      <c r="B110">
        <v>23</v>
      </c>
      <c r="E110" s="3" t="s">
        <v>98</v>
      </c>
      <c r="F110">
        <v>22175.37</v>
      </c>
      <c r="H110" s="3" t="s">
        <v>92</v>
      </c>
      <c r="I110">
        <v>77</v>
      </c>
    </row>
    <row r="111" spans="1:9" x14ac:dyDescent="0.25">
      <c r="A111" s="3" t="s">
        <v>109</v>
      </c>
      <c r="B111">
        <v>17</v>
      </c>
      <c r="E111" s="3" t="s">
        <v>99</v>
      </c>
      <c r="F111">
        <v>16296.15</v>
      </c>
      <c r="H111" s="3" t="s">
        <v>93</v>
      </c>
      <c r="I111">
        <v>74</v>
      </c>
    </row>
    <row r="112" spans="1:9" x14ac:dyDescent="0.25">
      <c r="A112" s="3" t="s">
        <v>110</v>
      </c>
      <c r="B112">
        <v>4</v>
      </c>
      <c r="E112" s="3" t="s">
        <v>100</v>
      </c>
      <c r="F112">
        <v>120488.57</v>
      </c>
      <c r="H112" s="3" t="s">
        <v>94</v>
      </c>
      <c r="I112">
        <v>58</v>
      </c>
    </row>
    <row r="113" spans="1:9" x14ac:dyDescent="0.25">
      <c r="A113" s="3" t="s">
        <v>111</v>
      </c>
      <c r="B113">
        <v>20</v>
      </c>
      <c r="E113" s="3" t="s">
        <v>101</v>
      </c>
      <c r="F113">
        <v>111873.66</v>
      </c>
      <c r="H113" s="3" t="s">
        <v>95</v>
      </c>
      <c r="I113">
        <v>65</v>
      </c>
    </row>
    <row r="114" spans="1:9" x14ac:dyDescent="0.25">
      <c r="A114" s="3" t="s">
        <v>112</v>
      </c>
      <c r="B114">
        <v>4</v>
      </c>
      <c r="E114" s="3" t="s">
        <v>102</v>
      </c>
      <c r="F114">
        <v>27610.65</v>
      </c>
      <c r="H114" s="3" t="s">
        <v>96</v>
      </c>
      <c r="I114">
        <v>96</v>
      </c>
    </row>
    <row r="115" spans="1:9" x14ac:dyDescent="0.25">
      <c r="A115" s="3" t="s">
        <v>113</v>
      </c>
      <c r="B115">
        <v>14</v>
      </c>
      <c r="E115" s="3" t="s">
        <v>103</v>
      </c>
      <c r="F115">
        <v>142458.98000000001</v>
      </c>
      <c r="H115" s="3" t="s">
        <v>97</v>
      </c>
      <c r="I115">
        <v>67</v>
      </c>
    </row>
    <row r="116" spans="1:9" x14ac:dyDescent="0.25">
      <c r="A116" s="3" t="s">
        <v>114</v>
      </c>
      <c r="B116">
        <v>2</v>
      </c>
      <c r="E116" s="3" t="s">
        <v>104</v>
      </c>
      <c r="F116">
        <v>23799.83</v>
      </c>
      <c r="H116" s="3" t="s">
        <v>98</v>
      </c>
      <c r="I116">
        <v>82</v>
      </c>
    </row>
    <row r="117" spans="1:9" x14ac:dyDescent="0.25">
      <c r="A117" s="3" t="s">
        <v>115</v>
      </c>
      <c r="B117">
        <v>14</v>
      </c>
      <c r="E117" s="3" t="s">
        <v>105</v>
      </c>
      <c r="F117">
        <v>117019.47</v>
      </c>
      <c r="H117" s="3" t="s">
        <v>99</v>
      </c>
      <c r="I117">
        <v>63</v>
      </c>
    </row>
    <row r="118" spans="1:9" x14ac:dyDescent="0.25">
      <c r="A118" s="3" t="s">
        <v>116</v>
      </c>
      <c r="B118">
        <v>7</v>
      </c>
      <c r="E118" s="3" t="s">
        <v>106</v>
      </c>
      <c r="F118">
        <v>69472.05</v>
      </c>
      <c r="H118" s="3" t="s">
        <v>100</v>
      </c>
      <c r="I118">
        <v>48</v>
      </c>
    </row>
    <row r="119" spans="1:9" x14ac:dyDescent="0.25">
      <c r="A119" s="3" t="s">
        <v>117</v>
      </c>
      <c r="B119">
        <v>28</v>
      </c>
      <c r="E119" s="3" t="s">
        <v>107</v>
      </c>
      <c r="F119">
        <v>64103.040000000001</v>
      </c>
      <c r="H119" s="3" t="s">
        <v>101</v>
      </c>
      <c r="I119">
        <v>74</v>
      </c>
    </row>
    <row r="120" spans="1:9" x14ac:dyDescent="0.25">
      <c r="A120" s="3" t="s">
        <v>118</v>
      </c>
      <c r="B120">
        <v>21</v>
      </c>
      <c r="E120" s="3" t="s">
        <v>108</v>
      </c>
      <c r="F120">
        <v>137441.75</v>
      </c>
      <c r="H120" s="3" t="s">
        <v>102</v>
      </c>
      <c r="I120">
        <v>72</v>
      </c>
    </row>
    <row r="121" spans="1:9" x14ac:dyDescent="0.25">
      <c r="A121" s="3" t="s">
        <v>119</v>
      </c>
      <c r="B121">
        <v>17</v>
      </c>
      <c r="E121" s="3" t="s">
        <v>109</v>
      </c>
      <c r="F121">
        <v>11066.61</v>
      </c>
      <c r="H121" s="3" t="s">
        <v>103</v>
      </c>
      <c r="I121">
        <v>69</v>
      </c>
    </row>
    <row r="122" spans="1:9" x14ac:dyDescent="0.25">
      <c r="A122" s="3" t="s">
        <v>120</v>
      </c>
      <c r="B122">
        <v>22</v>
      </c>
      <c r="E122" s="3" t="s">
        <v>110</v>
      </c>
      <c r="F122">
        <v>36726.76</v>
      </c>
      <c r="H122" s="3" t="s">
        <v>104</v>
      </c>
      <c r="I122">
        <v>52</v>
      </c>
    </row>
    <row r="123" spans="1:9" x14ac:dyDescent="0.25">
      <c r="A123" s="3" t="s">
        <v>121</v>
      </c>
      <c r="B123">
        <v>2</v>
      </c>
      <c r="E123" s="3" t="s">
        <v>111</v>
      </c>
      <c r="F123">
        <v>19717.900000000001</v>
      </c>
      <c r="H123" s="3" t="s">
        <v>105</v>
      </c>
      <c r="I123">
        <v>63</v>
      </c>
    </row>
    <row r="124" spans="1:9" x14ac:dyDescent="0.25">
      <c r="A124" s="3" t="s">
        <v>122</v>
      </c>
      <c r="B124">
        <v>10</v>
      </c>
      <c r="E124" s="3" t="s">
        <v>112</v>
      </c>
      <c r="F124">
        <v>82657.039999999994</v>
      </c>
      <c r="H124" s="3" t="s">
        <v>106</v>
      </c>
      <c r="I124">
        <v>68</v>
      </c>
    </row>
    <row r="125" spans="1:9" x14ac:dyDescent="0.25">
      <c r="A125" s="3" t="s">
        <v>123</v>
      </c>
      <c r="B125">
        <v>12</v>
      </c>
      <c r="E125" s="3" t="s">
        <v>113</v>
      </c>
      <c r="F125">
        <v>16874.009999999998</v>
      </c>
      <c r="H125" s="3" t="s">
        <v>107</v>
      </c>
      <c r="I125">
        <v>42</v>
      </c>
    </row>
    <row r="126" spans="1:9" x14ac:dyDescent="0.25">
      <c r="A126" s="3" t="s">
        <v>124</v>
      </c>
      <c r="B126">
        <v>30</v>
      </c>
      <c r="E126" s="3" t="s">
        <v>114</v>
      </c>
      <c r="F126">
        <v>8578.83</v>
      </c>
      <c r="H126" s="3" t="s">
        <v>108</v>
      </c>
      <c r="I126">
        <v>74</v>
      </c>
    </row>
    <row r="127" spans="1:9" x14ac:dyDescent="0.25">
      <c r="A127" s="3" t="s">
        <v>125</v>
      </c>
      <c r="B127">
        <v>2</v>
      </c>
      <c r="E127" s="3" t="s">
        <v>115</v>
      </c>
      <c r="F127">
        <v>22311.39</v>
      </c>
      <c r="H127" s="3" t="s">
        <v>109</v>
      </c>
      <c r="I127">
        <v>86</v>
      </c>
    </row>
    <row r="128" spans="1:9" x14ac:dyDescent="0.25">
      <c r="A128" s="3" t="s">
        <v>126</v>
      </c>
      <c r="B128">
        <v>11</v>
      </c>
      <c r="E128" s="3" t="s">
        <v>116</v>
      </c>
      <c r="F128">
        <v>128560.01</v>
      </c>
      <c r="H128" s="3" t="s">
        <v>110</v>
      </c>
      <c r="I128">
        <v>53</v>
      </c>
    </row>
    <row r="129" spans="1:9" x14ac:dyDescent="0.25">
      <c r="A129" s="3" t="s">
        <v>127</v>
      </c>
      <c r="B129">
        <v>2</v>
      </c>
      <c r="E129" s="3" t="s">
        <v>117</v>
      </c>
      <c r="F129">
        <v>147742.63</v>
      </c>
      <c r="H129" s="3" t="s">
        <v>111</v>
      </c>
      <c r="I129">
        <v>63</v>
      </c>
    </row>
    <row r="130" spans="1:9" x14ac:dyDescent="0.25">
      <c r="A130" s="3" t="s">
        <v>128</v>
      </c>
      <c r="B130">
        <v>25</v>
      </c>
      <c r="E130" s="3" t="s">
        <v>118</v>
      </c>
      <c r="F130">
        <v>54562.1</v>
      </c>
      <c r="H130" s="3" t="s">
        <v>112</v>
      </c>
      <c r="I130">
        <v>55</v>
      </c>
    </row>
    <row r="131" spans="1:9" x14ac:dyDescent="0.25">
      <c r="A131" s="3" t="s">
        <v>129</v>
      </c>
      <c r="B131">
        <v>19</v>
      </c>
      <c r="E131" s="3" t="s">
        <v>119</v>
      </c>
      <c r="F131">
        <v>146289.26999999999</v>
      </c>
      <c r="H131" s="3" t="s">
        <v>113</v>
      </c>
      <c r="I131">
        <v>76</v>
      </c>
    </row>
    <row r="132" spans="1:9" x14ac:dyDescent="0.25">
      <c r="A132" s="3" t="s">
        <v>130</v>
      </c>
      <c r="B132">
        <v>24</v>
      </c>
      <c r="E132" s="3" t="s">
        <v>120</v>
      </c>
      <c r="F132">
        <v>128840.81</v>
      </c>
      <c r="H132" s="3" t="s">
        <v>114</v>
      </c>
      <c r="I132">
        <v>90</v>
      </c>
    </row>
    <row r="133" spans="1:9" x14ac:dyDescent="0.25">
      <c r="A133" s="3" t="s">
        <v>131</v>
      </c>
      <c r="B133">
        <v>28</v>
      </c>
      <c r="E133" s="3" t="s">
        <v>121</v>
      </c>
      <c r="F133">
        <v>19629.22</v>
      </c>
      <c r="H133" s="3" t="s">
        <v>115</v>
      </c>
      <c r="I133">
        <v>86</v>
      </c>
    </row>
    <row r="134" spans="1:9" x14ac:dyDescent="0.25">
      <c r="A134" s="3" t="s">
        <v>132</v>
      </c>
      <c r="B134">
        <v>27</v>
      </c>
      <c r="E134" s="3" t="s">
        <v>122</v>
      </c>
      <c r="F134">
        <v>73629.03</v>
      </c>
      <c r="H134" s="3" t="s">
        <v>116</v>
      </c>
      <c r="I134">
        <v>52</v>
      </c>
    </row>
    <row r="135" spans="1:9" x14ac:dyDescent="0.25">
      <c r="A135" s="3" t="s">
        <v>133</v>
      </c>
      <c r="B135">
        <v>27</v>
      </c>
      <c r="E135" s="3" t="s">
        <v>123</v>
      </c>
      <c r="F135">
        <v>100747.7</v>
      </c>
      <c r="H135" s="3" t="s">
        <v>117</v>
      </c>
      <c r="I135">
        <v>62</v>
      </c>
    </row>
    <row r="136" spans="1:9" x14ac:dyDescent="0.25">
      <c r="A136" s="3" t="s">
        <v>134</v>
      </c>
      <c r="B136">
        <v>8</v>
      </c>
      <c r="E136" s="3" t="s">
        <v>124</v>
      </c>
      <c r="F136">
        <v>85523.17</v>
      </c>
      <c r="H136" s="3" t="s">
        <v>118</v>
      </c>
      <c r="I136">
        <v>86</v>
      </c>
    </row>
    <row r="137" spans="1:9" x14ac:dyDescent="0.25">
      <c r="A137" s="3" t="s">
        <v>135</v>
      </c>
      <c r="B137">
        <v>7</v>
      </c>
      <c r="E137" s="3" t="s">
        <v>125</v>
      </c>
      <c r="F137">
        <v>79151.14</v>
      </c>
      <c r="H137" s="3" t="s">
        <v>119</v>
      </c>
      <c r="I137">
        <v>47</v>
      </c>
    </row>
    <row r="138" spans="1:9" x14ac:dyDescent="0.25">
      <c r="A138" s="3" t="s">
        <v>136</v>
      </c>
      <c r="B138">
        <v>22</v>
      </c>
      <c r="E138" s="3" t="s">
        <v>126</v>
      </c>
      <c r="F138">
        <v>115395.67</v>
      </c>
      <c r="H138" s="3" t="s">
        <v>120</v>
      </c>
      <c r="I138">
        <v>81</v>
      </c>
    </row>
    <row r="139" spans="1:9" x14ac:dyDescent="0.25">
      <c r="A139" s="3" t="s">
        <v>137</v>
      </c>
      <c r="B139">
        <v>5</v>
      </c>
      <c r="E139" s="3" t="s">
        <v>127</v>
      </c>
      <c r="F139">
        <v>49131.44</v>
      </c>
      <c r="H139" s="3" t="s">
        <v>121</v>
      </c>
      <c r="I139">
        <v>95</v>
      </c>
    </row>
    <row r="140" spans="1:9" x14ac:dyDescent="0.25">
      <c r="A140" s="3" t="s">
        <v>138</v>
      </c>
      <c r="B140">
        <v>3</v>
      </c>
      <c r="E140" s="3" t="s">
        <v>128</v>
      </c>
      <c r="F140">
        <v>58132.5</v>
      </c>
      <c r="H140" s="3" t="s">
        <v>122</v>
      </c>
      <c r="I140">
        <v>85</v>
      </c>
    </row>
    <row r="141" spans="1:9" x14ac:dyDescent="0.25">
      <c r="A141" s="3" t="s">
        <v>139</v>
      </c>
      <c r="B141">
        <v>6</v>
      </c>
      <c r="E141" s="3" t="s">
        <v>129</v>
      </c>
      <c r="F141">
        <v>77311.77</v>
      </c>
      <c r="H141" s="3" t="s">
        <v>123</v>
      </c>
      <c r="I141">
        <v>74</v>
      </c>
    </row>
    <row r="142" spans="1:9" x14ac:dyDescent="0.25">
      <c r="A142" s="3" t="s">
        <v>140</v>
      </c>
      <c r="B142">
        <v>11</v>
      </c>
      <c r="E142" s="3" t="s">
        <v>130</v>
      </c>
      <c r="F142">
        <v>14270.62</v>
      </c>
      <c r="H142" s="3" t="s">
        <v>124</v>
      </c>
      <c r="I142">
        <v>90</v>
      </c>
    </row>
    <row r="143" spans="1:9" x14ac:dyDescent="0.25">
      <c r="A143" s="3" t="s">
        <v>141</v>
      </c>
      <c r="B143">
        <v>6</v>
      </c>
      <c r="E143" s="3" t="s">
        <v>131</v>
      </c>
      <c r="F143">
        <v>97685.72</v>
      </c>
      <c r="H143" s="3" t="s">
        <v>125</v>
      </c>
      <c r="I143">
        <v>56</v>
      </c>
    </row>
    <row r="144" spans="1:9" x14ac:dyDescent="0.25">
      <c r="A144" s="3" t="s">
        <v>142</v>
      </c>
      <c r="B144">
        <v>26</v>
      </c>
      <c r="E144" s="3" t="s">
        <v>132</v>
      </c>
      <c r="F144">
        <v>142687.47</v>
      </c>
      <c r="H144" s="3" t="s">
        <v>126</v>
      </c>
      <c r="I144">
        <v>74</v>
      </c>
    </row>
    <row r="145" spans="1:9" x14ac:dyDescent="0.25">
      <c r="A145" s="3" t="s">
        <v>143</v>
      </c>
      <c r="B145">
        <v>22</v>
      </c>
      <c r="E145" s="3" t="s">
        <v>133</v>
      </c>
      <c r="F145">
        <v>36754.51</v>
      </c>
      <c r="H145" s="3" t="s">
        <v>127</v>
      </c>
      <c r="I145">
        <v>44</v>
      </c>
    </row>
    <row r="146" spans="1:9" x14ac:dyDescent="0.25">
      <c r="A146" s="3" t="s">
        <v>144</v>
      </c>
      <c r="B146">
        <v>24</v>
      </c>
      <c r="E146" s="3" t="s">
        <v>134</v>
      </c>
      <c r="F146">
        <v>34938.57</v>
      </c>
      <c r="H146" s="3" t="s">
        <v>128</v>
      </c>
      <c r="I146">
        <v>43</v>
      </c>
    </row>
    <row r="147" spans="1:9" x14ac:dyDescent="0.25">
      <c r="A147" s="3" t="s">
        <v>145</v>
      </c>
      <c r="B147">
        <v>14</v>
      </c>
      <c r="E147" s="3" t="s">
        <v>135</v>
      </c>
      <c r="F147">
        <v>97228.49</v>
      </c>
      <c r="H147" s="3" t="s">
        <v>129</v>
      </c>
      <c r="I147">
        <v>90</v>
      </c>
    </row>
    <row r="148" spans="1:9" x14ac:dyDescent="0.25">
      <c r="A148" s="3" t="s">
        <v>146</v>
      </c>
      <c r="B148">
        <v>2</v>
      </c>
      <c r="E148" s="3" t="s">
        <v>136</v>
      </c>
      <c r="F148">
        <v>91441.1</v>
      </c>
      <c r="H148" s="3" t="s">
        <v>130</v>
      </c>
      <c r="I148">
        <v>43</v>
      </c>
    </row>
    <row r="149" spans="1:9" x14ac:dyDescent="0.25">
      <c r="A149" s="3" t="s">
        <v>147</v>
      </c>
      <c r="B149">
        <v>21</v>
      </c>
      <c r="E149" s="3" t="s">
        <v>137</v>
      </c>
      <c r="F149">
        <v>139624.06</v>
      </c>
      <c r="H149" s="3" t="s">
        <v>131</v>
      </c>
      <c r="I149">
        <v>59</v>
      </c>
    </row>
    <row r="150" spans="1:9" x14ac:dyDescent="0.25">
      <c r="A150" s="3" t="s">
        <v>148</v>
      </c>
      <c r="B150">
        <v>12</v>
      </c>
      <c r="E150" s="3" t="s">
        <v>138</v>
      </c>
      <c r="F150">
        <v>86650.5</v>
      </c>
      <c r="H150" s="3" t="s">
        <v>132</v>
      </c>
      <c r="I150">
        <v>80</v>
      </c>
    </row>
    <row r="151" spans="1:9" x14ac:dyDescent="0.25">
      <c r="A151" s="3" t="s">
        <v>149</v>
      </c>
      <c r="B151">
        <v>17</v>
      </c>
      <c r="E151" s="3" t="s">
        <v>139</v>
      </c>
      <c r="F151">
        <v>85517.09</v>
      </c>
      <c r="H151" s="3" t="s">
        <v>133</v>
      </c>
      <c r="I151">
        <v>49</v>
      </c>
    </row>
    <row r="152" spans="1:9" x14ac:dyDescent="0.25">
      <c r="A152" s="3" t="s">
        <v>150</v>
      </c>
      <c r="B152">
        <v>9</v>
      </c>
      <c r="E152" s="3" t="s">
        <v>140</v>
      </c>
      <c r="F152">
        <v>134120.62</v>
      </c>
      <c r="H152" s="3" t="s">
        <v>134</v>
      </c>
      <c r="I152">
        <v>70</v>
      </c>
    </row>
    <row r="153" spans="1:9" x14ac:dyDescent="0.25">
      <c r="A153" s="3" t="s">
        <v>151</v>
      </c>
      <c r="B153">
        <v>18</v>
      </c>
      <c r="E153" s="3" t="s">
        <v>141</v>
      </c>
      <c r="F153">
        <v>22593.06</v>
      </c>
      <c r="H153" s="3" t="s">
        <v>135</v>
      </c>
      <c r="I153">
        <v>60</v>
      </c>
    </row>
    <row r="154" spans="1:9" x14ac:dyDescent="0.25">
      <c r="A154" s="3" t="s">
        <v>152</v>
      </c>
      <c r="B154">
        <v>7</v>
      </c>
      <c r="E154" s="3" t="s">
        <v>142</v>
      </c>
      <c r="F154">
        <v>88741.64</v>
      </c>
      <c r="H154" s="3" t="s">
        <v>136</v>
      </c>
      <c r="I154">
        <v>84</v>
      </c>
    </row>
    <row r="155" spans="1:9" x14ac:dyDescent="0.25">
      <c r="A155" s="3" t="s">
        <v>153</v>
      </c>
      <c r="B155">
        <v>4</v>
      </c>
      <c r="E155" s="3" t="s">
        <v>143</v>
      </c>
      <c r="F155">
        <v>10917.19</v>
      </c>
      <c r="H155" s="3" t="s">
        <v>137</v>
      </c>
      <c r="I155">
        <v>55</v>
      </c>
    </row>
    <row r="156" spans="1:9" x14ac:dyDescent="0.25">
      <c r="A156" s="3" t="s">
        <v>154</v>
      </c>
      <c r="B156">
        <v>6</v>
      </c>
      <c r="E156" s="3" t="s">
        <v>144</v>
      </c>
      <c r="F156">
        <v>97613.71</v>
      </c>
      <c r="H156" s="3" t="s">
        <v>138</v>
      </c>
      <c r="I156">
        <v>53</v>
      </c>
    </row>
    <row r="157" spans="1:9" x14ac:dyDescent="0.25">
      <c r="A157" s="3" t="s">
        <v>155</v>
      </c>
      <c r="B157">
        <v>6</v>
      </c>
      <c r="E157" s="3" t="s">
        <v>145</v>
      </c>
      <c r="F157">
        <v>135711.26999999999</v>
      </c>
      <c r="H157" s="3" t="s">
        <v>139</v>
      </c>
      <c r="I157">
        <v>79</v>
      </c>
    </row>
    <row r="158" spans="1:9" x14ac:dyDescent="0.25">
      <c r="A158" s="3" t="s">
        <v>156</v>
      </c>
      <c r="B158">
        <v>26</v>
      </c>
      <c r="E158" s="3" t="s">
        <v>146</v>
      </c>
      <c r="F158">
        <v>117464.18</v>
      </c>
      <c r="H158" s="3" t="s">
        <v>140</v>
      </c>
      <c r="I158">
        <v>92</v>
      </c>
    </row>
    <row r="159" spans="1:9" x14ac:dyDescent="0.25">
      <c r="A159" s="3" t="s">
        <v>157</v>
      </c>
      <c r="B159">
        <v>20</v>
      </c>
      <c r="E159" s="3" t="s">
        <v>147</v>
      </c>
      <c r="F159">
        <v>89474.55</v>
      </c>
      <c r="H159" s="3" t="s">
        <v>141</v>
      </c>
      <c r="I159">
        <v>67</v>
      </c>
    </row>
    <row r="160" spans="1:9" x14ac:dyDescent="0.25">
      <c r="A160" s="3" t="s">
        <v>158</v>
      </c>
      <c r="B160">
        <v>27</v>
      </c>
      <c r="E160" s="3" t="s">
        <v>148</v>
      </c>
      <c r="F160">
        <v>105954.09</v>
      </c>
      <c r="H160" s="3" t="s">
        <v>142</v>
      </c>
      <c r="I160">
        <v>99</v>
      </c>
    </row>
    <row r="161" spans="1:9" x14ac:dyDescent="0.25">
      <c r="A161" s="3" t="s">
        <v>159</v>
      </c>
      <c r="B161">
        <v>13</v>
      </c>
      <c r="E161" s="3" t="s">
        <v>149</v>
      </c>
      <c r="F161">
        <v>91267.91</v>
      </c>
      <c r="H161" s="3" t="s">
        <v>143</v>
      </c>
      <c r="I161">
        <v>43</v>
      </c>
    </row>
    <row r="162" spans="1:9" x14ac:dyDescent="0.25">
      <c r="A162" s="3" t="s">
        <v>160</v>
      </c>
      <c r="B162">
        <v>12</v>
      </c>
      <c r="E162" s="3" t="s">
        <v>150</v>
      </c>
      <c r="F162">
        <v>46506.94</v>
      </c>
      <c r="H162" s="3" t="s">
        <v>144</v>
      </c>
      <c r="I162">
        <v>72</v>
      </c>
    </row>
    <row r="163" spans="1:9" x14ac:dyDescent="0.25">
      <c r="A163" s="3" t="s">
        <v>161</v>
      </c>
      <c r="B163">
        <v>17</v>
      </c>
      <c r="E163" s="3" t="s">
        <v>151</v>
      </c>
      <c r="F163">
        <v>40568.300000000003</v>
      </c>
      <c r="H163" s="3" t="s">
        <v>145</v>
      </c>
      <c r="I163">
        <v>99</v>
      </c>
    </row>
    <row r="164" spans="1:9" x14ac:dyDescent="0.25">
      <c r="A164" s="3" t="s">
        <v>162</v>
      </c>
      <c r="B164">
        <v>18</v>
      </c>
      <c r="E164" s="3" t="s">
        <v>152</v>
      </c>
      <c r="F164">
        <v>132265.98000000001</v>
      </c>
      <c r="H164" s="3" t="s">
        <v>146</v>
      </c>
      <c r="I164">
        <v>61</v>
      </c>
    </row>
    <row r="165" spans="1:9" x14ac:dyDescent="0.25">
      <c r="A165" s="3" t="s">
        <v>163</v>
      </c>
      <c r="B165">
        <v>16</v>
      </c>
      <c r="E165" s="3" t="s">
        <v>153</v>
      </c>
      <c r="F165">
        <v>50993.47</v>
      </c>
      <c r="H165" s="3" t="s">
        <v>147</v>
      </c>
      <c r="I165">
        <v>64</v>
      </c>
    </row>
    <row r="166" spans="1:9" x14ac:dyDescent="0.25">
      <c r="A166" s="3" t="s">
        <v>164</v>
      </c>
      <c r="B166">
        <v>25</v>
      </c>
      <c r="E166" s="3" t="s">
        <v>154</v>
      </c>
      <c r="F166">
        <v>135590.48000000001</v>
      </c>
      <c r="H166" s="3" t="s">
        <v>148</v>
      </c>
      <c r="I166">
        <v>95</v>
      </c>
    </row>
    <row r="167" spans="1:9" x14ac:dyDescent="0.25">
      <c r="A167" s="3" t="s">
        <v>165</v>
      </c>
      <c r="B167">
        <v>7</v>
      </c>
      <c r="E167" s="3" t="s">
        <v>155</v>
      </c>
      <c r="F167">
        <v>148956.56</v>
      </c>
      <c r="H167" s="3" t="s">
        <v>149</v>
      </c>
      <c r="I167">
        <v>76</v>
      </c>
    </row>
    <row r="168" spans="1:9" x14ac:dyDescent="0.25">
      <c r="A168" s="3" t="s">
        <v>166</v>
      </c>
      <c r="B168">
        <v>21</v>
      </c>
      <c r="E168" s="3" t="s">
        <v>156</v>
      </c>
      <c r="F168">
        <v>71584.960000000006</v>
      </c>
      <c r="H168" s="3" t="s">
        <v>150</v>
      </c>
      <c r="I168">
        <v>72</v>
      </c>
    </row>
    <row r="169" spans="1:9" x14ac:dyDescent="0.25">
      <c r="A169" s="3" t="s">
        <v>167</v>
      </c>
      <c r="B169">
        <v>2</v>
      </c>
      <c r="E169" s="3" t="s">
        <v>157</v>
      </c>
      <c r="F169">
        <v>78613.16</v>
      </c>
      <c r="H169" s="3" t="s">
        <v>151</v>
      </c>
      <c r="I169">
        <v>91</v>
      </c>
    </row>
    <row r="170" spans="1:9" x14ac:dyDescent="0.25">
      <c r="A170" s="3" t="s">
        <v>168</v>
      </c>
      <c r="B170">
        <v>3</v>
      </c>
      <c r="E170" s="3" t="s">
        <v>158</v>
      </c>
      <c r="F170">
        <v>103548.4</v>
      </c>
      <c r="H170" s="3" t="s">
        <v>152</v>
      </c>
      <c r="I170">
        <v>45</v>
      </c>
    </row>
    <row r="171" spans="1:9" x14ac:dyDescent="0.25">
      <c r="A171" s="3" t="s">
        <v>169</v>
      </c>
      <c r="B171">
        <v>19</v>
      </c>
      <c r="E171" s="3" t="s">
        <v>159</v>
      </c>
      <c r="F171">
        <v>62134.18</v>
      </c>
      <c r="H171" s="3" t="s">
        <v>153</v>
      </c>
      <c r="I171">
        <v>82</v>
      </c>
    </row>
    <row r="172" spans="1:9" x14ac:dyDescent="0.25">
      <c r="A172" s="3" t="s">
        <v>170</v>
      </c>
      <c r="B172">
        <v>25</v>
      </c>
      <c r="E172" s="3" t="s">
        <v>160</v>
      </c>
      <c r="F172">
        <v>59235.13</v>
      </c>
      <c r="H172" s="3" t="s">
        <v>154</v>
      </c>
      <c r="I172">
        <v>46</v>
      </c>
    </row>
    <row r="173" spans="1:9" x14ac:dyDescent="0.25">
      <c r="A173" s="3" t="s">
        <v>171</v>
      </c>
      <c r="B173">
        <v>21</v>
      </c>
      <c r="E173" s="3" t="s">
        <v>161</v>
      </c>
      <c r="F173">
        <v>118022.05</v>
      </c>
      <c r="H173" s="3" t="s">
        <v>155</v>
      </c>
      <c r="I173">
        <v>100</v>
      </c>
    </row>
    <row r="174" spans="1:9" x14ac:dyDescent="0.25">
      <c r="A174" s="3" t="s">
        <v>172</v>
      </c>
      <c r="B174">
        <v>4</v>
      </c>
      <c r="E174" s="3" t="s">
        <v>162</v>
      </c>
      <c r="F174">
        <v>127750.62</v>
      </c>
      <c r="H174" s="3" t="s">
        <v>156</v>
      </c>
      <c r="I174">
        <v>55</v>
      </c>
    </row>
    <row r="175" spans="1:9" x14ac:dyDescent="0.25">
      <c r="A175" s="3" t="s">
        <v>173</v>
      </c>
      <c r="B175">
        <v>1</v>
      </c>
      <c r="E175" s="3" t="s">
        <v>163</v>
      </c>
      <c r="F175">
        <v>79666.86</v>
      </c>
      <c r="H175" s="3" t="s">
        <v>157</v>
      </c>
      <c r="I175">
        <v>85</v>
      </c>
    </row>
    <row r="176" spans="1:9" x14ac:dyDescent="0.25">
      <c r="A176" s="3" t="s">
        <v>174</v>
      </c>
      <c r="B176">
        <v>14</v>
      </c>
      <c r="E176" s="3" t="s">
        <v>164</v>
      </c>
      <c r="F176">
        <v>120956.04</v>
      </c>
      <c r="H176" s="3" t="s">
        <v>158</v>
      </c>
      <c r="I176">
        <v>74</v>
      </c>
    </row>
    <row r="177" spans="1:9" x14ac:dyDescent="0.25">
      <c r="A177" s="3" t="s">
        <v>175</v>
      </c>
      <c r="B177">
        <v>25</v>
      </c>
      <c r="E177" s="3" t="s">
        <v>165</v>
      </c>
      <c r="F177">
        <v>100338.81</v>
      </c>
      <c r="H177" s="3" t="s">
        <v>159</v>
      </c>
      <c r="I177">
        <v>40</v>
      </c>
    </row>
    <row r="178" spans="1:9" x14ac:dyDescent="0.25">
      <c r="A178" s="3" t="s">
        <v>176</v>
      </c>
      <c r="B178">
        <v>22</v>
      </c>
      <c r="E178" s="3" t="s">
        <v>166</v>
      </c>
      <c r="F178">
        <v>120621.62</v>
      </c>
      <c r="H178" s="3" t="s">
        <v>160</v>
      </c>
      <c r="I178">
        <v>42</v>
      </c>
    </row>
    <row r="179" spans="1:9" x14ac:dyDescent="0.25">
      <c r="A179" s="3" t="s">
        <v>177</v>
      </c>
      <c r="B179">
        <v>24</v>
      </c>
      <c r="E179" s="3" t="s">
        <v>167</v>
      </c>
      <c r="F179">
        <v>21143.75</v>
      </c>
      <c r="H179" s="3" t="s">
        <v>161</v>
      </c>
      <c r="I179">
        <v>79</v>
      </c>
    </row>
    <row r="180" spans="1:9" x14ac:dyDescent="0.25">
      <c r="A180" s="3" t="s">
        <v>178</v>
      </c>
      <c r="B180">
        <v>23</v>
      </c>
      <c r="E180" s="3" t="s">
        <v>168</v>
      </c>
      <c r="F180">
        <v>58168.06</v>
      </c>
      <c r="H180" s="3" t="s">
        <v>162</v>
      </c>
      <c r="I180">
        <v>60</v>
      </c>
    </row>
    <row r="181" spans="1:9" x14ac:dyDescent="0.25">
      <c r="A181" s="3" t="s">
        <v>179</v>
      </c>
      <c r="B181">
        <v>20</v>
      </c>
      <c r="E181" s="3" t="s">
        <v>169</v>
      </c>
      <c r="F181">
        <v>121600.57</v>
      </c>
      <c r="H181" s="3" t="s">
        <v>163</v>
      </c>
      <c r="I181">
        <v>85</v>
      </c>
    </row>
    <row r="182" spans="1:9" x14ac:dyDescent="0.25">
      <c r="A182" s="3" t="s">
        <v>180</v>
      </c>
      <c r="B182">
        <v>20</v>
      </c>
      <c r="E182" s="3" t="s">
        <v>170</v>
      </c>
      <c r="F182">
        <v>60409.31</v>
      </c>
      <c r="H182" s="3" t="s">
        <v>164</v>
      </c>
      <c r="I182">
        <v>95</v>
      </c>
    </row>
    <row r="183" spans="1:9" x14ac:dyDescent="0.25">
      <c r="A183" s="3" t="s">
        <v>181</v>
      </c>
      <c r="B183">
        <v>26</v>
      </c>
      <c r="E183" s="3" t="s">
        <v>171</v>
      </c>
      <c r="F183">
        <v>148766.01</v>
      </c>
      <c r="H183" s="3" t="s">
        <v>165</v>
      </c>
      <c r="I183">
        <v>59</v>
      </c>
    </row>
    <row r="184" spans="1:9" x14ac:dyDescent="0.25">
      <c r="A184" s="3" t="s">
        <v>182</v>
      </c>
      <c r="B184">
        <v>30</v>
      </c>
      <c r="E184" s="3" t="s">
        <v>172</v>
      </c>
      <c r="F184">
        <v>46211.03</v>
      </c>
      <c r="H184" s="3" t="s">
        <v>166</v>
      </c>
      <c r="I184">
        <v>74</v>
      </c>
    </row>
    <row r="185" spans="1:9" x14ac:dyDescent="0.25">
      <c r="A185" s="3" t="s">
        <v>183</v>
      </c>
      <c r="B185">
        <v>24</v>
      </c>
      <c r="E185" s="3" t="s">
        <v>173</v>
      </c>
      <c r="F185">
        <v>32781.94</v>
      </c>
      <c r="H185" s="3" t="s">
        <v>167</v>
      </c>
      <c r="I185">
        <v>42</v>
      </c>
    </row>
    <row r="186" spans="1:9" x14ac:dyDescent="0.25">
      <c r="A186" s="3" t="s">
        <v>184</v>
      </c>
      <c r="B186">
        <v>14</v>
      </c>
      <c r="E186" s="3" t="s">
        <v>174</v>
      </c>
      <c r="F186">
        <v>139264.72</v>
      </c>
      <c r="H186" s="3" t="s">
        <v>168</v>
      </c>
      <c r="I186">
        <v>84</v>
      </c>
    </row>
    <row r="187" spans="1:9" x14ac:dyDescent="0.25">
      <c r="A187" s="3" t="s">
        <v>185</v>
      </c>
      <c r="B187">
        <v>22</v>
      </c>
      <c r="E187" s="3" t="s">
        <v>175</v>
      </c>
      <c r="F187">
        <v>15165.98</v>
      </c>
      <c r="H187" s="3" t="s">
        <v>169</v>
      </c>
      <c r="I187">
        <v>94</v>
      </c>
    </row>
    <row r="188" spans="1:9" x14ac:dyDescent="0.25">
      <c r="A188" s="3" t="s">
        <v>186</v>
      </c>
      <c r="B188">
        <v>24</v>
      </c>
      <c r="E188" s="3" t="s">
        <v>176</v>
      </c>
      <c r="F188">
        <v>133910.69</v>
      </c>
      <c r="H188" s="3" t="s">
        <v>170</v>
      </c>
      <c r="I188">
        <v>94</v>
      </c>
    </row>
    <row r="189" spans="1:9" x14ac:dyDescent="0.25">
      <c r="A189" s="3" t="s">
        <v>187</v>
      </c>
      <c r="B189">
        <v>9</v>
      </c>
      <c r="E189" s="3" t="s">
        <v>177</v>
      </c>
      <c r="F189">
        <v>82835.539999999994</v>
      </c>
      <c r="H189" s="3" t="s">
        <v>171</v>
      </c>
      <c r="I189">
        <v>76</v>
      </c>
    </row>
    <row r="190" spans="1:9" x14ac:dyDescent="0.25">
      <c r="A190" s="3" t="s">
        <v>188</v>
      </c>
      <c r="B190">
        <v>7</v>
      </c>
      <c r="E190" s="3" t="s">
        <v>178</v>
      </c>
      <c r="F190">
        <v>109945.06</v>
      </c>
      <c r="H190" s="3" t="s">
        <v>172</v>
      </c>
      <c r="I190">
        <v>97</v>
      </c>
    </row>
    <row r="191" spans="1:9" x14ac:dyDescent="0.25">
      <c r="A191" s="3" t="s">
        <v>189</v>
      </c>
      <c r="B191">
        <v>5</v>
      </c>
      <c r="E191" s="3" t="s">
        <v>179</v>
      </c>
      <c r="F191">
        <v>40894.400000000001</v>
      </c>
      <c r="H191" s="3" t="s">
        <v>173</v>
      </c>
      <c r="I191">
        <v>83</v>
      </c>
    </row>
    <row r="192" spans="1:9" x14ac:dyDescent="0.25">
      <c r="A192" s="3" t="s">
        <v>190</v>
      </c>
      <c r="B192">
        <v>21</v>
      </c>
      <c r="E192" s="3" t="s">
        <v>180</v>
      </c>
      <c r="F192">
        <v>5522.04</v>
      </c>
      <c r="H192" s="3" t="s">
        <v>174</v>
      </c>
      <c r="I192">
        <v>72</v>
      </c>
    </row>
    <row r="193" spans="1:9" x14ac:dyDescent="0.25">
      <c r="A193" s="3" t="s">
        <v>191</v>
      </c>
      <c r="B193">
        <v>19</v>
      </c>
      <c r="E193" s="3" t="s">
        <v>181</v>
      </c>
      <c r="F193">
        <v>121567.96</v>
      </c>
      <c r="H193" s="3" t="s">
        <v>175</v>
      </c>
      <c r="I193">
        <v>86</v>
      </c>
    </row>
    <row r="194" spans="1:9" x14ac:dyDescent="0.25">
      <c r="A194" s="3" t="s">
        <v>192</v>
      </c>
      <c r="B194">
        <v>7</v>
      </c>
      <c r="E194" s="3" t="s">
        <v>182</v>
      </c>
      <c r="F194">
        <v>14606.74</v>
      </c>
      <c r="H194" s="3" t="s">
        <v>176</v>
      </c>
      <c r="I194">
        <v>87</v>
      </c>
    </row>
    <row r="195" spans="1:9" x14ac:dyDescent="0.25">
      <c r="A195" s="3" t="s">
        <v>193</v>
      </c>
      <c r="B195">
        <v>11</v>
      </c>
      <c r="E195" s="3" t="s">
        <v>183</v>
      </c>
      <c r="F195">
        <v>116568.72</v>
      </c>
      <c r="H195" s="3" t="s">
        <v>177</v>
      </c>
      <c r="I195">
        <v>94</v>
      </c>
    </row>
    <row r="196" spans="1:9" x14ac:dyDescent="0.25">
      <c r="A196" s="3" t="s">
        <v>194</v>
      </c>
      <c r="B196">
        <v>4</v>
      </c>
      <c r="E196" s="3" t="s">
        <v>184</v>
      </c>
      <c r="F196">
        <v>70189.8</v>
      </c>
      <c r="H196" s="3" t="s">
        <v>178</v>
      </c>
      <c r="I196">
        <v>76</v>
      </c>
    </row>
    <row r="197" spans="1:9" x14ac:dyDescent="0.25">
      <c r="A197" s="3" t="s">
        <v>195</v>
      </c>
      <c r="B197">
        <v>30</v>
      </c>
      <c r="E197" s="3" t="s">
        <v>185</v>
      </c>
      <c r="F197">
        <v>136392.39000000001</v>
      </c>
      <c r="H197" s="3" t="s">
        <v>179</v>
      </c>
      <c r="I197">
        <v>46</v>
      </c>
    </row>
    <row r="198" spans="1:9" x14ac:dyDescent="0.25">
      <c r="A198" s="3" t="s">
        <v>196</v>
      </c>
      <c r="B198">
        <v>28</v>
      </c>
      <c r="E198" s="3" t="s">
        <v>186</v>
      </c>
      <c r="F198">
        <v>139281.34</v>
      </c>
      <c r="H198" s="3" t="s">
        <v>180</v>
      </c>
      <c r="I198">
        <v>95</v>
      </c>
    </row>
    <row r="199" spans="1:9" x14ac:dyDescent="0.25">
      <c r="A199" s="3" t="s">
        <v>197</v>
      </c>
      <c r="B199">
        <v>28</v>
      </c>
      <c r="E199" s="3" t="s">
        <v>187</v>
      </c>
      <c r="F199">
        <v>140818.37</v>
      </c>
      <c r="H199" s="3" t="s">
        <v>181</v>
      </c>
      <c r="I199">
        <v>65</v>
      </c>
    </row>
    <row r="200" spans="1:9" x14ac:dyDescent="0.25">
      <c r="A200" s="3" t="s">
        <v>198</v>
      </c>
      <c r="B200">
        <v>13</v>
      </c>
      <c r="E200" s="3" t="s">
        <v>188</v>
      </c>
      <c r="F200">
        <v>56018.43</v>
      </c>
      <c r="H200" s="3" t="s">
        <v>182</v>
      </c>
      <c r="I200">
        <v>75</v>
      </c>
    </row>
    <row r="201" spans="1:9" x14ac:dyDescent="0.25">
      <c r="A201" s="3" t="s">
        <v>199</v>
      </c>
      <c r="B201">
        <v>17</v>
      </c>
      <c r="E201" s="3" t="s">
        <v>189</v>
      </c>
      <c r="F201">
        <v>144841.74</v>
      </c>
      <c r="H201" s="3" t="s">
        <v>183</v>
      </c>
      <c r="I201">
        <v>65</v>
      </c>
    </row>
    <row r="202" spans="1:9" x14ac:dyDescent="0.25">
      <c r="A202" s="3" t="s">
        <v>200</v>
      </c>
      <c r="B202">
        <v>27</v>
      </c>
      <c r="E202" s="3" t="s">
        <v>190</v>
      </c>
      <c r="F202">
        <v>123398.79</v>
      </c>
      <c r="H202" s="3" t="s">
        <v>184</v>
      </c>
      <c r="I202">
        <v>88</v>
      </c>
    </row>
    <row r="203" spans="1:9" x14ac:dyDescent="0.25">
      <c r="A203" s="3" t="s">
        <v>201</v>
      </c>
      <c r="B203">
        <v>29</v>
      </c>
      <c r="E203" s="3" t="s">
        <v>191</v>
      </c>
      <c r="F203">
        <v>10911.55</v>
      </c>
      <c r="H203" s="3" t="s">
        <v>185</v>
      </c>
      <c r="I203">
        <v>77</v>
      </c>
    </row>
    <row r="204" spans="1:9" x14ac:dyDescent="0.25">
      <c r="A204" s="3" t="s">
        <v>202</v>
      </c>
      <c r="B204">
        <v>26</v>
      </c>
      <c r="E204" s="3" t="s">
        <v>192</v>
      </c>
      <c r="F204">
        <v>96532.96</v>
      </c>
      <c r="H204" s="3" t="s">
        <v>186</v>
      </c>
      <c r="I204">
        <v>96</v>
      </c>
    </row>
    <row r="205" spans="1:9" x14ac:dyDescent="0.25">
      <c r="A205" s="3" t="s">
        <v>203</v>
      </c>
      <c r="B205">
        <v>1</v>
      </c>
      <c r="E205" s="3" t="s">
        <v>193</v>
      </c>
      <c r="F205">
        <v>126056.09</v>
      </c>
      <c r="H205" s="3" t="s">
        <v>187</v>
      </c>
      <c r="I205">
        <v>42</v>
      </c>
    </row>
    <row r="206" spans="1:9" x14ac:dyDescent="0.25">
      <c r="A206" s="3" t="s">
        <v>204</v>
      </c>
      <c r="B206">
        <v>9</v>
      </c>
      <c r="E206" s="3" t="s">
        <v>194</v>
      </c>
      <c r="F206">
        <v>92788.13</v>
      </c>
      <c r="H206" s="3" t="s">
        <v>188</v>
      </c>
      <c r="I206">
        <v>77</v>
      </c>
    </row>
    <row r="207" spans="1:9" x14ac:dyDescent="0.25">
      <c r="A207" s="3" t="s">
        <v>205</v>
      </c>
      <c r="B207">
        <v>26</v>
      </c>
      <c r="E207" s="3" t="s">
        <v>195</v>
      </c>
      <c r="F207">
        <v>24614.639999999999</v>
      </c>
      <c r="H207" s="3" t="s">
        <v>189</v>
      </c>
      <c r="I207">
        <v>57</v>
      </c>
    </row>
    <row r="208" spans="1:9" x14ac:dyDescent="0.25">
      <c r="A208" s="3" t="s">
        <v>206</v>
      </c>
      <c r="B208">
        <v>3</v>
      </c>
      <c r="E208" s="3" t="s">
        <v>196</v>
      </c>
      <c r="F208">
        <v>36862.400000000001</v>
      </c>
      <c r="H208" s="3" t="s">
        <v>190</v>
      </c>
      <c r="I208">
        <v>77</v>
      </c>
    </row>
    <row r="209" spans="1:9" x14ac:dyDescent="0.25">
      <c r="A209" s="3" t="s">
        <v>207</v>
      </c>
      <c r="B209">
        <v>21</v>
      </c>
      <c r="E209" s="3" t="s">
        <v>197</v>
      </c>
      <c r="F209">
        <v>84065.42</v>
      </c>
      <c r="H209" s="3" t="s">
        <v>191</v>
      </c>
      <c r="I209">
        <v>47</v>
      </c>
    </row>
    <row r="210" spans="1:9" x14ac:dyDescent="0.25">
      <c r="A210" s="3" t="s">
        <v>208</v>
      </c>
      <c r="B210">
        <v>9</v>
      </c>
      <c r="E210" s="3" t="s">
        <v>198</v>
      </c>
      <c r="F210">
        <v>83047.11</v>
      </c>
      <c r="H210" s="3" t="s">
        <v>192</v>
      </c>
      <c r="I210">
        <v>93</v>
      </c>
    </row>
    <row r="211" spans="1:9" x14ac:dyDescent="0.25">
      <c r="A211" s="3" t="s">
        <v>209</v>
      </c>
      <c r="B211">
        <v>24</v>
      </c>
      <c r="E211" s="3" t="s">
        <v>199</v>
      </c>
      <c r="F211">
        <v>96326.11</v>
      </c>
      <c r="H211" s="3" t="s">
        <v>193</v>
      </c>
      <c r="I211">
        <v>78</v>
      </c>
    </row>
    <row r="212" spans="1:9" x14ac:dyDescent="0.25">
      <c r="A212" s="3" t="s">
        <v>210</v>
      </c>
      <c r="B212">
        <v>6</v>
      </c>
      <c r="E212" s="3" t="s">
        <v>200</v>
      </c>
      <c r="F212">
        <v>49487.73</v>
      </c>
      <c r="H212" s="3" t="s">
        <v>194</v>
      </c>
      <c r="I212">
        <v>41</v>
      </c>
    </row>
    <row r="213" spans="1:9" x14ac:dyDescent="0.25">
      <c r="A213" s="3" t="s">
        <v>211</v>
      </c>
      <c r="B213">
        <v>25</v>
      </c>
      <c r="E213" s="3" t="s">
        <v>201</v>
      </c>
      <c r="F213">
        <v>18263.25</v>
      </c>
      <c r="H213" s="3" t="s">
        <v>195</v>
      </c>
      <c r="I213">
        <v>57</v>
      </c>
    </row>
    <row r="214" spans="1:9" x14ac:dyDescent="0.25">
      <c r="A214" s="3" t="s">
        <v>212</v>
      </c>
      <c r="B214">
        <v>21</v>
      </c>
      <c r="E214" s="3" t="s">
        <v>202</v>
      </c>
      <c r="F214">
        <v>149013.84</v>
      </c>
      <c r="H214" s="3" t="s">
        <v>196</v>
      </c>
      <c r="I214">
        <v>66</v>
      </c>
    </row>
    <row r="215" spans="1:9" x14ac:dyDescent="0.25">
      <c r="A215" s="3" t="s">
        <v>213</v>
      </c>
      <c r="B215">
        <v>22</v>
      </c>
      <c r="E215" s="3" t="s">
        <v>203</v>
      </c>
      <c r="F215">
        <v>46708.35</v>
      </c>
      <c r="H215" s="3" t="s">
        <v>197</v>
      </c>
      <c r="I215">
        <v>50</v>
      </c>
    </row>
    <row r="216" spans="1:9" x14ac:dyDescent="0.25">
      <c r="A216" s="3" t="s">
        <v>214</v>
      </c>
      <c r="B216">
        <v>15</v>
      </c>
      <c r="E216" s="3" t="s">
        <v>204</v>
      </c>
      <c r="F216">
        <v>68133.7</v>
      </c>
      <c r="H216" s="3" t="s">
        <v>198</v>
      </c>
      <c r="I216">
        <v>50</v>
      </c>
    </row>
    <row r="217" spans="1:9" x14ac:dyDescent="0.25">
      <c r="A217" s="3" t="s">
        <v>215</v>
      </c>
      <c r="B217">
        <v>26</v>
      </c>
      <c r="E217" s="3" t="s">
        <v>205</v>
      </c>
      <c r="F217">
        <v>19213.509999999998</v>
      </c>
      <c r="H217" s="3" t="s">
        <v>199</v>
      </c>
      <c r="I217">
        <v>82</v>
      </c>
    </row>
    <row r="218" spans="1:9" x14ac:dyDescent="0.25">
      <c r="A218" s="3" t="s">
        <v>216</v>
      </c>
      <c r="B218">
        <v>11</v>
      </c>
      <c r="E218" s="3" t="s">
        <v>206</v>
      </c>
      <c r="F218">
        <v>22138.22</v>
      </c>
      <c r="H218" s="3" t="s">
        <v>200</v>
      </c>
      <c r="I218">
        <v>72</v>
      </c>
    </row>
    <row r="219" spans="1:9" x14ac:dyDescent="0.25">
      <c r="A219" s="3" t="s">
        <v>217</v>
      </c>
      <c r="B219">
        <v>8</v>
      </c>
      <c r="E219" s="3" t="s">
        <v>207</v>
      </c>
      <c r="F219">
        <v>30460.26</v>
      </c>
      <c r="H219" s="3" t="s">
        <v>201</v>
      </c>
      <c r="I219">
        <v>83</v>
      </c>
    </row>
    <row r="220" spans="1:9" x14ac:dyDescent="0.25">
      <c r="A220" s="3" t="s">
        <v>218</v>
      </c>
      <c r="B220">
        <v>25</v>
      </c>
      <c r="E220" s="3" t="s">
        <v>208</v>
      </c>
      <c r="F220">
        <v>52772.62</v>
      </c>
      <c r="H220" s="3" t="s">
        <v>202</v>
      </c>
      <c r="I220">
        <v>93</v>
      </c>
    </row>
    <row r="221" spans="1:9" x14ac:dyDescent="0.25">
      <c r="A221" s="3" t="s">
        <v>219</v>
      </c>
      <c r="B221">
        <v>24</v>
      </c>
      <c r="E221" s="3" t="s">
        <v>209</v>
      </c>
      <c r="F221">
        <v>118241.71</v>
      </c>
      <c r="H221" s="3" t="s">
        <v>203</v>
      </c>
      <c r="I221">
        <v>88</v>
      </c>
    </row>
    <row r="222" spans="1:9" x14ac:dyDescent="0.25">
      <c r="A222" s="3" t="s">
        <v>220</v>
      </c>
      <c r="B222">
        <v>1</v>
      </c>
      <c r="E222" s="3" t="s">
        <v>210</v>
      </c>
      <c r="F222">
        <v>19477.689999999999</v>
      </c>
      <c r="H222" s="3" t="s">
        <v>204</v>
      </c>
      <c r="I222">
        <v>60</v>
      </c>
    </row>
    <row r="223" spans="1:9" x14ac:dyDescent="0.25">
      <c r="A223" s="3" t="s">
        <v>221</v>
      </c>
      <c r="B223">
        <v>11</v>
      </c>
      <c r="E223" s="3" t="s">
        <v>211</v>
      </c>
      <c r="F223">
        <v>114541.22</v>
      </c>
      <c r="H223" s="3" t="s">
        <v>205</v>
      </c>
      <c r="I223">
        <v>96</v>
      </c>
    </row>
    <row r="224" spans="1:9" x14ac:dyDescent="0.25">
      <c r="A224" s="3" t="s">
        <v>222</v>
      </c>
      <c r="B224">
        <v>14</v>
      </c>
      <c r="E224" s="3" t="s">
        <v>212</v>
      </c>
      <c r="F224">
        <v>56437.97</v>
      </c>
      <c r="H224" s="3" t="s">
        <v>206</v>
      </c>
      <c r="I224">
        <v>96</v>
      </c>
    </row>
    <row r="225" spans="1:9" x14ac:dyDescent="0.25">
      <c r="A225" s="3" t="s">
        <v>223</v>
      </c>
      <c r="B225">
        <v>13</v>
      </c>
      <c r="E225" s="3" t="s">
        <v>213</v>
      </c>
      <c r="F225">
        <v>53586.34</v>
      </c>
      <c r="H225" s="3" t="s">
        <v>207</v>
      </c>
      <c r="I225">
        <v>63</v>
      </c>
    </row>
    <row r="226" spans="1:9" x14ac:dyDescent="0.25">
      <c r="A226" s="3" t="s">
        <v>224</v>
      </c>
      <c r="B226">
        <v>23</v>
      </c>
      <c r="E226" s="3" t="s">
        <v>214</v>
      </c>
      <c r="F226">
        <v>13836.03</v>
      </c>
      <c r="H226" s="3" t="s">
        <v>208</v>
      </c>
      <c r="I226">
        <v>62</v>
      </c>
    </row>
    <row r="227" spans="1:9" x14ac:dyDescent="0.25">
      <c r="A227" s="3" t="s">
        <v>225</v>
      </c>
      <c r="B227">
        <v>18</v>
      </c>
      <c r="E227" s="3" t="s">
        <v>215</v>
      </c>
      <c r="F227">
        <v>54960.36</v>
      </c>
      <c r="H227" s="3" t="s">
        <v>209</v>
      </c>
      <c r="I227">
        <v>81</v>
      </c>
    </row>
    <row r="228" spans="1:9" x14ac:dyDescent="0.25">
      <c r="A228" s="3" t="s">
        <v>226</v>
      </c>
      <c r="B228">
        <v>6</v>
      </c>
      <c r="E228" s="3" t="s">
        <v>216</v>
      </c>
      <c r="F228">
        <v>92629.07</v>
      </c>
      <c r="H228" s="3" t="s">
        <v>210</v>
      </c>
      <c r="I228">
        <v>65</v>
      </c>
    </row>
    <row r="229" spans="1:9" x14ac:dyDescent="0.25">
      <c r="A229" s="3" t="s">
        <v>228</v>
      </c>
      <c r="B229">
        <v>3203</v>
      </c>
      <c r="E229" s="3" t="s">
        <v>217</v>
      </c>
      <c r="F229">
        <v>69945.08</v>
      </c>
      <c r="H229" s="3" t="s">
        <v>211</v>
      </c>
      <c r="I229">
        <v>69</v>
      </c>
    </row>
    <row r="230" spans="1:9" x14ac:dyDescent="0.25">
      <c r="E230" s="3" t="s">
        <v>218</v>
      </c>
      <c r="F230">
        <v>132120.79</v>
      </c>
      <c r="H230" s="3" t="s">
        <v>212</v>
      </c>
      <c r="I230">
        <v>78</v>
      </c>
    </row>
    <row r="231" spans="1:9" x14ac:dyDescent="0.25">
      <c r="E231" s="3" t="s">
        <v>219</v>
      </c>
      <c r="F231">
        <v>132726.88</v>
      </c>
      <c r="H231" s="3" t="s">
        <v>213</v>
      </c>
      <c r="I231">
        <v>96</v>
      </c>
    </row>
    <row r="232" spans="1:9" x14ac:dyDescent="0.25">
      <c r="E232" s="3" t="s">
        <v>220</v>
      </c>
      <c r="F232">
        <v>40806.769999999997</v>
      </c>
      <c r="H232" s="3" t="s">
        <v>214</v>
      </c>
      <c r="I232">
        <v>60</v>
      </c>
    </row>
    <row r="233" spans="1:9" x14ac:dyDescent="0.25">
      <c r="E233" s="3" t="s">
        <v>221</v>
      </c>
      <c r="F233">
        <v>56926.38</v>
      </c>
      <c r="H233" s="3" t="s">
        <v>215</v>
      </c>
      <c r="I233">
        <v>61</v>
      </c>
    </row>
    <row r="234" spans="1:9" x14ac:dyDescent="0.25">
      <c r="E234" s="3" t="s">
        <v>222</v>
      </c>
      <c r="F234">
        <v>87386.12</v>
      </c>
      <c r="H234" s="3" t="s">
        <v>216</v>
      </c>
      <c r="I234">
        <v>96</v>
      </c>
    </row>
    <row r="235" spans="1:9" x14ac:dyDescent="0.25">
      <c r="E235" s="3" t="s">
        <v>223</v>
      </c>
      <c r="F235">
        <v>7805.22</v>
      </c>
      <c r="H235" s="3" t="s">
        <v>217</v>
      </c>
      <c r="I235">
        <v>80</v>
      </c>
    </row>
    <row r="236" spans="1:9" x14ac:dyDescent="0.25">
      <c r="E236" s="3" t="s">
        <v>224</v>
      </c>
      <c r="F236">
        <v>64936.83</v>
      </c>
      <c r="H236" s="3" t="s">
        <v>218</v>
      </c>
      <c r="I236">
        <v>81</v>
      </c>
    </row>
    <row r="237" spans="1:9" x14ac:dyDescent="0.25">
      <c r="E237" s="3" t="s">
        <v>225</v>
      </c>
      <c r="F237">
        <v>57025.03</v>
      </c>
      <c r="H237" s="3" t="s">
        <v>219</v>
      </c>
      <c r="I237">
        <v>54</v>
      </c>
    </row>
    <row r="238" spans="1:9" x14ac:dyDescent="0.25">
      <c r="E238" s="3" t="s">
        <v>226</v>
      </c>
      <c r="F238">
        <v>145631.91</v>
      </c>
      <c r="H238" s="3" t="s">
        <v>220</v>
      </c>
      <c r="I238">
        <v>51</v>
      </c>
    </row>
    <row r="239" spans="1:9" x14ac:dyDescent="0.25">
      <c r="E239" s="3" t="s">
        <v>228</v>
      </c>
      <c r="F239">
        <v>15939702.700000003</v>
      </c>
      <c r="H239" s="3" t="s">
        <v>221</v>
      </c>
      <c r="I239">
        <v>81</v>
      </c>
    </row>
    <row r="240" spans="1:9" x14ac:dyDescent="0.25">
      <c r="H240" s="3" t="s">
        <v>222</v>
      </c>
      <c r="I240">
        <v>63</v>
      </c>
    </row>
    <row r="241" spans="8:9" x14ac:dyDescent="0.25">
      <c r="H241" s="3" t="s">
        <v>223</v>
      </c>
      <c r="I241">
        <v>91</v>
      </c>
    </row>
    <row r="242" spans="8:9" x14ac:dyDescent="0.25">
      <c r="H242" s="3" t="s">
        <v>224</v>
      </c>
      <c r="I242">
        <v>51</v>
      </c>
    </row>
    <row r="243" spans="8:9" x14ac:dyDescent="0.25">
      <c r="H243" s="3" t="s">
        <v>225</v>
      </c>
      <c r="I243">
        <v>50</v>
      </c>
    </row>
    <row r="244" spans="8:9" x14ac:dyDescent="0.25">
      <c r="H244" s="3" t="s">
        <v>226</v>
      </c>
      <c r="I244">
        <v>49</v>
      </c>
    </row>
    <row r="245" spans="8:9" x14ac:dyDescent="0.25">
      <c r="H245" s="3" t="s">
        <v>228</v>
      </c>
      <c r="I245">
        <v>14075</v>
      </c>
    </row>
  </sheetData>
  <mergeCells count="5">
    <mergeCell ref="A7:H7"/>
    <mergeCell ref="A12:F12"/>
    <mergeCell ref="A18:B18"/>
    <mergeCell ref="E18:I18"/>
    <mergeCell ref="A27:B27"/>
  </mergeCells>
  <conditionalFormatting pivot="1" sqref="I45:I244">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hospital_patient_treatment_data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Mercy Oluwaseun Aremu</cp:lastModifiedBy>
  <dcterms:created xsi:type="dcterms:W3CDTF">2026-01-10T08:18:49Z</dcterms:created>
  <dcterms:modified xsi:type="dcterms:W3CDTF">2026-01-19T11:46:52Z</dcterms:modified>
</cp:coreProperties>
</file>